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9D7E55B2-C9C0-0244-80C3-AB488941826E}" xr6:coauthVersionLast="47" xr6:coauthVersionMax="47" xr10:uidLastSave="{00000000-0000-0000-0000-000000000000}"/>
  <bookViews>
    <workbookView xWindow="11920" yWindow="660" windowWidth="18240" windowHeight="17020" activeTab="3" xr2:uid="{00000000-000D-0000-FFFF-FFFF00000000}"/>
  </bookViews>
  <sheets>
    <sheet name="5A_CD" sheetId="4" r:id="rId1"/>
    <sheet name="M08_CI" sheetId="3" r:id="rId2"/>
    <sheet name="M13_CI" sheetId="7" r:id="rId3"/>
    <sheet name="M09_AL" sheetId="9" r:id="rId4"/>
    <sheet name="9M_CD" sheetId="1" r:id="rId5"/>
    <sheet name="4B_CD" sheetId="2" r:id="rId6"/>
    <sheet name="3V_CD" sheetId="8" r:id="rId7"/>
    <sheet name="6W_TCD" sheetId="5" r:id="rId8"/>
    <sheet name="11A_TCD" sheetId="6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4" l="1"/>
  <c r="M4" i="2"/>
  <c r="M41" i="2"/>
  <c r="M39" i="2"/>
  <c r="M38" i="2"/>
  <c r="M37" i="2"/>
  <c r="M36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0" i="1"/>
  <c r="H18" i="1"/>
  <c r="H17" i="1"/>
  <c r="H16" i="1"/>
  <c r="H15" i="1"/>
  <c r="H14" i="1"/>
  <c r="H13" i="1"/>
  <c r="H11" i="1"/>
  <c r="H10" i="1"/>
  <c r="H9" i="1"/>
  <c r="H8" i="1"/>
  <c r="H7" i="1"/>
  <c r="H6" i="1"/>
  <c r="H5" i="1"/>
  <c r="H12" i="1"/>
  <c r="I18" i="1"/>
  <c r="E4" i="1"/>
  <c r="H28" i="1"/>
  <c r="H19" i="1"/>
  <c r="H4" i="1"/>
  <c r="H33" i="3"/>
  <c r="J33" i="3" s="1"/>
  <c r="J3" i="9"/>
  <c r="J7" i="9"/>
  <c r="J9" i="9"/>
  <c r="J13" i="9"/>
  <c r="J15" i="9"/>
  <c r="J22" i="9"/>
  <c r="J26" i="9"/>
  <c r="J27" i="9"/>
  <c r="G14" i="3"/>
  <c r="G4" i="7"/>
  <c r="G12" i="7"/>
  <c r="G15" i="7"/>
  <c r="G24" i="7"/>
  <c r="G27" i="7"/>
  <c r="G31" i="7"/>
  <c r="G33" i="7"/>
  <c r="G2" i="7"/>
  <c r="J6" i="3"/>
  <c r="J7" i="3"/>
  <c r="J9" i="3"/>
  <c r="J10" i="3"/>
  <c r="J12" i="3"/>
  <c r="J15" i="3"/>
  <c r="J20" i="3"/>
  <c r="J30" i="3"/>
  <c r="J31" i="3"/>
  <c r="J32" i="3"/>
  <c r="J35" i="3"/>
  <c r="I5" i="8"/>
  <c r="K5" i="8" s="1"/>
  <c r="I6" i="8"/>
  <c r="K6" i="8" s="1"/>
  <c r="I7" i="8"/>
  <c r="K7" i="8" s="1"/>
  <c r="I8" i="8"/>
  <c r="K8" i="8" s="1"/>
  <c r="I9" i="8"/>
  <c r="K9" i="8" s="1"/>
  <c r="I10" i="8"/>
  <c r="K10" i="8" s="1"/>
  <c r="I12" i="8"/>
  <c r="K12" i="8" s="1"/>
  <c r="I13" i="8"/>
  <c r="K13" i="8" s="1"/>
  <c r="I14" i="8"/>
  <c r="K14" i="8" s="1"/>
  <c r="I15" i="8"/>
  <c r="K15" i="8" s="1"/>
  <c r="I17" i="8"/>
  <c r="K17" i="8" s="1"/>
  <c r="I19" i="8"/>
  <c r="K19" i="8" s="1"/>
  <c r="I20" i="8"/>
  <c r="K20" i="8" s="1"/>
  <c r="I21" i="8"/>
  <c r="K21" i="8" s="1"/>
  <c r="I23" i="8"/>
  <c r="K23" i="8" s="1"/>
  <c r="I24" i="8"/>
  <c r="K24" i="8" s="1"/>
  <c r="I25" i="8"/>
  <c r="K25" i="8" s="1"/>
  <c r="I26" i="8"/>
  <c r="K26" i="8" s="1"/>
  <c r="K41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6" i="2"/>
  <c r="K37" i="2"/>
  <c r="K38" i="2"/>
  <c r="K39" i="2"/>
  <c r="K4" i="2"/>
  <c r="L4" i="2" s="1"/>
  <c r="E5" i="1"/>
  <c r="G5" i="1" s="1"/>
  <c r="E6" i="1"/>
  <c r="G6" i="1" s="1"/>
  <c r="E7" i="1"/>
  <c r="G7" i="1" s="1"/>
  <c r="E8" i="1"/>
  <c r="G8" i="1" s="1"/>
  <c r="E9" i="1"/>
  <c r="E10" i="1"/>
  <c r="E11" i="1"/>
  <c r="E12" i="1"/>
  <c r="E13" i="1"/>
  <c r="E14" i="1"/>
  <c r="E15" i="1"/>
  <c r="E16" i="1"/>
  <c r="E17" i="1"/>
  <c r="G17" i="1" s="1"/>
  <c r="E18" i="1"/>
  <c r="G18" i="1" s="1"/>
  <c r="E20" i="1"/>
  <c r="E21" i="1"/>
  <c r="E22" i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E30" i="1"/>
  <c r="G30" i="1" s="1"/>
  <c r="E31" i="1"/>
  <c r="E32" i="1"/>
  <c r="G32" i="1" s="1"/>
  <c r="E33" i="1"/>
  <c r="G33" i="1" s="1"/>
  <c r="E34" i="1"/>
  <c r="G34" i="1" s="1"/>
  <c r="E35" i="1"/>
  <c r="G35" i="1" s="1"/>
  <c r="H4" i="9"/>
  <c r="J4" i="9" s="1"/>
  <c r="H5" i="9"/>
  <c r="J5" i="9" s="1"/>
  <c r="H6" i="9"/>
  <c r="J6" i="9" s="1"/>
  <c r="H8" i="9"/>
  <c r="J8" i="9" s="1"/>
  <c r="H10" i="9"/>
  <c r="J10" i="9" s="1"/>
  <c r="H11" i="9"/>
  <c r="J11" i="9" s="1"/>
  <c r="H12" i="9"/>
  <c r="J12" i="9" s="1"/>
  <c r="H14" i="9"/>
  <c r="J14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3" i="9"/>
  <c r="J23" i="9" s="1"/>
  <c r="H24" i="9"/>
  <c r="J24" i="9" s="1"/>
  <c r="H25" i="9"/>
  <c r="J25" i="9" s="1"/>
  <c r="H28" i="9"/>
  <c r="J28" i="9" s="1"/>
  <c r="H29" i="9"/>
  <c r="J29" i="9" s="1"/>
  <c r="H30" i="9"/>
  <c r="J30" i="9" s="1"/>
  <c r="H31" i="9"/>
  <c r="J31" i="9" s="1"/>
  <c r="H32" i="9"/>
  <c r="J32" i="9" s="1"/>
  <c r="H33" i="9"/>
  <c r="H2" i="9"/>
  <c r="J2" i="9" s="1"/>
  <c r="E3" i="7"/>
  <c r="G3" i="7" s="1"/>
  <c r="E5" i="7"/>
  <c r="G5" i="7" s="1"/>
  <c r="E6" i="7"/>
  <c r="G6" i="7" s="1"/>
  <c r="E7" i="7"/>
  <c r="G7" i="7" s="1"/>
  <c r="E8" i="7"/>
  <c r="G8" i="7" s="1"/>
  <c r="E9" i="7"/>
  <c r="G9" i="7" s="1"/>
  <c r="E10" i="7"/>
  <c r="G10" i="7" s="1"/>
  <c r="E11" i="7"/>
  <c r="G11" i="7" s="1"/>
  <c r="E13" i="7"/>
  <c r="G13" i="7" s="1"/>
  <c r="E14" i="7"/>
  <c r="G14" i="7" s="1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23" i="7"/>
  <c r="G23" i="7" s="1"/>
  <c r="E25" i="7"/>
  <c r="G25" i="7" s="1"/>
  <c r="E26" i="7"/>
  <c r="G26" i="7" s="1"/>
  <c r="E28" i="7"/>
  <c r="G28" i="7" s="1"/>
  <c r="E29" i="7"/>
  <c r="G29" i="7" s="1"/>
  <c r="E30" i="7"/>
  <c r="G30" i="7" s="1"/>
  <c r="E32" i="7"/>
  <c r="G32" i="7" s="1"/>
  <c r="E34" i="7"/>
  <c r="G34" i="7" s="1"/>
  <c r="E35" i="7"/>
  <c r="G35" i="7" s="1"/>
  <c r="H39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4" i="4"/>
  <c r="H5" i="4"/>
  <c r="H6" i="4"/>
  <c r="H7" i="4"/>
  <c r="H10" i="4"/>
  <c r="H11" i="4"/>
  <c r="H12" i="4"/>
  <c r="H13" i="4"/>
  <c r="H14" i="4"/>
  <c r="H15" i="4"/>
  <c r="H16" i="4"/>
  <c r="H18" i="4"/>
  <c r="H19" i="4"/>
  <c r="H21" i="4"/>
  <c r="H3" i="4"/>
  <c r="I3" i="4" s="1"/>
  <c r="H29" i="3"/>
  <c r="J29" i="3" s="1"/>
  <c r="H34" i="3"/>
  <c r="J34" i="3" s="1"/>
  <c r="H36" i="3"/>
  <c r="J36" i="3" s="1"/>
  <c r="H17" i="3"/>
  <c r="J17" i="3" s="1"/>
  <c r="H18" i="3"/>
  <c r="J18" i="3" s="1"/>
  <c r="H19" i="3"/>
  <c r="J19" i="3" s="1"/>
  <c r="H21" i="3"/>
  <c r="J21" i="3" s="1"/>
  <c r="H22" i="3"/>
  <c r="J22" i="3" s="1"/>
  <c r="H23" i="3"/>
  <c r="J23" i="3" s="1"/>
  <c r="H24" i="3"/>
  <c r="J24" i="3" s="1"/>
  <c r="H25" i="3"/>
  <c r="J25" i="3" s="1"/>
  <c r="H26" i="3"/>
  <c r="J26" i="3" s="1"/>
  <c r="H27" i="3"/>
  <c r="J27" i="3" s="1"/>
  <c r="H28" i="3"/>
  <c r="J28" i="3" s="1"/>
  <c r="H4" i="3"/>
  <c r="J4" i="3" s="1"/>
  <c r="H5" i="3"/>
  <c r="J5" i="3" s="1"/>
  <c r="H8" i="3"/>
  <c r="J8" i="3" s="1"/>
  <c r="H11" i="3"/>
  <c r="J11" i="3" s="1"/>
  <c r="H13" i="3"/>
  <c r="J13" i="3" s="1"/>
  <c r="H14" i="3"/>
  <c r="H16" i="3"/>
  <c r="J16" i="3" s="1"/>
  <c r="H3" i="3"/>
  <c r="J3" i="3" s="1"/>
  <c r="G14" i="1" l="1"/>
  <c r="G15" i="1"/>
  <c r="G12" i="1"/>
  <c r="G16" i="1"/>
  <c r="J14" i="3"/>
  <c r="G20" i="1"/>
  <c r="G29" i="1"/>
  <c r="G21" i="1"/>
  <c r="G9" i="1"/>
  <c r="G22" i="1"/>
  <c r="G31" i="1"/>
  <c r="G10" i="1"/>
  <c r="G11" i="1"/>
  <c r="G13" i="1"/>
  <c r="D36" i="7"/>
  <c r="AC20" i="1"/>
  <c r="BG35" i="1"/>
  <c r="BA35" i="1"/>
  <c r="AU35" i="1"/>
  <c r="AO35" i="1"/>
  <c r="AI35" i="1"/>
  <c r="AC35" i="1"/>
  <c r="W35" i="1"/>
  <c r="Q35" i="1"/>
  <c r="O5" i="8"/>
  <c r="P9" i="2"/>
  <c r="AH38" i="2"/>
  <c r="CK41" i="2"/>
  <c r="CE41" i="2"/>
  <c r="BY41" i="2"/>
  <c r="BS41" i="2"/>
  <c r="BL41" i="2"/>
  <c r="BF41" i="2"/>
  <c r="AZ41" i="2"/>
  <c r="AT41" i="2"/>
  <c r="AN41" i="2"/>
  <c r="AH41" i="2"/>
  <c r="AB41" i="2"/>
  <c r="V41" i="2"/>
  <c r="CK40" i="2"/>
  <c r="CE40" i="2"/>
  <c r="BY40" i="2"/>
  <c r="BS40" i="2"/>
  <c r="BL40" i="2"/>
  <c r="BF40" i="2"/>
  <c r="AZ40" i="2"/>
  <c r="AT40" i="2"/>
  <c r="AN40" i="2"/>
  <c r="AH40" i="2"/>
  <c r="AB40" i="2"/>
  <c r="V40" i="2"/>
  <c r="P14" i="2"/>
  <c r="AH34" i="2"/>
  <c r="BY37" i="2"/>
  <c r="BS37" i="2"/>
  <c r="CJ26" i="8"/>
  <c r="CD26" i="8"/>
  <c r="BX26" i="8"/>
  <c r="BR26" i="8"/>
  <c r="BK26" i="8"/>
  <c r="BE26" i="8"/>
  <c r="AY26" i="8"/>
  <c r="AS26" i="8"/>
  <c r="AM26" i="8"/>
  <c r="AG26" i="8"/>
  <c r="AA26" i="8"/>
  <c r="U26" i="8"/>
  <c r="CJ25" i="8"/>
  <c r="CD25" i="8"/>
  <c r="BX25" i="8"/>
  <c r="BR25" i="8"/>
  <c r="BK25" i="8"/>
  <c r="BE25" i="8"/>
  <c r="AY25" i="8"/>
  <c r="AS25" i="8"/>
  <c r="AM25" i="8"/>
  <c r="AG25" i="8"/>
  <c r="AA25" i="8"/>
  <c r="U25" i="8"/>
  <c r="CJ24" i="8"/>
  <c r="CD24" i="8"/>
  <c r="BX24" i="8"/>
  <c r="BR24" i="8"/>
  <c r="BK24" i="8"/>
  <c r="BE24" i="8"/>
  <c r="AY24" i="8"/>
  <c r="AS24" i="8"/>
  <c r="AM24" i="8"/>
  <c r="AG24" i="8"/>
  <c r="AA24" i="8"/>
  <c r="U24" i="8"/>
  <c r="CJ23" i="8"/>
  <c r="CD23" i="8"/>
  <c r="BX23" i="8"/>
  <c r="BR23" i="8"/>
  <c r="BK23" i="8"/>
  <c r="BE23" i="8"/>
  <c r="AY23" i="8"/>
  <c r="AS23" i="8"/>
  <c r="AM23" i="8"/>
  <c r="AG23" i="8"/>
  <c r="AA23" i="8"/>
  <c r="U23" i="8"/>
  <c r="CJ22" i="8"/>
  <c r="CD22" i="8"/>
  <c r="BX22" i="8"/>
  <c r="BR22" i="8"/>
  <c r="BK22" i="8"/>
  <c r="BE22" i="8"/>
  <c r="AY22" i="8"/>
  <c r="AS22" i="8"/>
  <c r="AM22" i="8"/>
  <c r="AG22" i="8"/>
  <c r="AA22" i="8"/>
  <c r="U22" i="8"/>
  <c r="CJ21" i="8"/>
  <c r="CD21" i="8"/>
  <c r="BX21" i="8"/>
  <c r="BR21" i="8"/>
  <c r="BK21" i="8"/>
  <c r="BE21" i="8"/>
  <c r="AY21" i="8"/>
  <c r="AS21" i="8"/>
  <c r="AM21" i="8"/>
  <c r="AG21" i="8"/>
  <c r="AA21" i="8"/>
  <c r="U21" i="8"/>
  <c r="CJ20" i="8"/>
  <c r="CD20" i="8"/>
  <c r="BX20" i="8"/>
  <c r="BR20" i="8"/>
  <c r="BK20" i="8"/>
  <c r="BE20" i="8"/>
  <c r="AY20" i="8"/>
  <c r="AS20" i="8"/>
  <c r="AM20" i="8"/>
  <c r="AG20" i="8"/>
  <c r="AA20" i="8"/>
  <c r="U20" i="8"/>
  <c r="CJ19" i="8"/>
  <c r="CD19" i="8"/>
  <c r="BX19" i="8"/>
  <c r="BR19" i="8"/>
  <c r="BK19" i="8"/>
  <c r="BE19" i="8"/>
  <c r="AY19" i="8"/>
  <c r="AS19" i="8"/>
  <c r="AM19" i="8"/>
  <c r="AG19" i="8"/>
  <c r="AA19" i="8"/>
  <c r="U19" i="8"/>
  <c r="CJ18" i="8"/>
  <c r="CD18" i="8"/>
  <c r="BX18" i="8"/>
  <c r="BR18" i="8"/>
  <c r="BK18" i="8"/>
  <c r="BE18" i="8"/>
  <c r="AY18" i="8"/>
  <c r="AS18" i="8"/>
  <c r="AM18" i="8"/>
  <c r="AG18" i="8"/>
  <c r="AA18" i="8"/>
  <c r="U18" i="8"/>
  <c r="CJ17" i="8"/>
  <c r="CD17" i="8"/>
  <c r="BX17" i="8"/>
  <c r="BR17" i="8"/>
  <c r="BK17" i="8"/>
  <c r="BE17" i="8"/>
  <c r="AY17" i="8"/>
  <c r="AS17" i="8"/>
  <c r="AM17" i="8"/>
  <c r="AG17" i="8"/>
  <c r="AA17" i="8"/>
  <c r="U17" i="8"/>
  <c r="CJ16" i="8"/>
  <c r="CD16" i="8"/>
  <c r="BX16" i="8"/>
  <c r="BR16" i="8"/>
  <c r="BK16" i="8"/>
  <c r="BE16" i="8"/>
  <c r="AY16" i="8"/>
  <c r="AS16" i="8"/>
  <c r="AM16" i="8"/>
  <c r="AG16" i="8"/>
  <c r="AA16" i="8"/>
  <c r="U16" i="8"/>
  <c r="CJ15" i="8"/>
  <c r="CD15" i="8"/>
  <c r="BX15" i="8"/>
  <c r="BR15" i="8"/>
  <c r="BK15" i="8"/>
  <c r="BE15" i="8"/>
  <c r="AY15" i="8"/>
  <c r="AS15" i="8"/>
  <c r="AM15" i="8"/>
  <c r="AG15" i="8"/>
  <c r="AA15" i="8"/>
  <c r="U15" i="8"/>
  <c r="CJ14" i="8"/>
  <c r="CD14" i="8"/>
  <c r="BX14" i="8"/>
  <c r="BR14" i="8"/>
  <c r="BK14" i="8"/>
  <c r="BE14" i="8"/>
  <c r="AY14" i="8"/>
  <c r="AS14" i="8"/>
  <c r="AM14" i="8"/>
  <c r="AG14" i="8"/>
  <c r="AA14" i="8"/>
  <c r="U14" i="8"/>
  <c r="CJ13" i="8"/>
  <c r="CD13" i="8"/>
  <c r="BX13" i="8"/>
  <c r="BR13" i="8"/>
  <c r="BK13" i="8"/>
  <c r="BE13" i="8"/>
  <c r="AY13" i="8"/>
  <c r="AS13" i="8"/>
  <c r="AM13" i="8"/>
  <c r="AG13" i="8"/>
  <c r="AA13" i="8"/>
  <c r="U13" i="8"/>
  <c r="CJ12" i="8"/>
  <c r="CD12" i="8"/>
  <c r="BX12" i="8"/>
  <c r="BR12" i="8"/>
  <c r="BK12" i="8"/>
  <c r="BE12" i="8"/>
  <c r="AY12" i="8"/>
  <c r="AS12" i="8"/>
  <c r="AM12" i="8"/>
  <c r="AG12" i="8"/>
  <c r="AA12" i="8"/>
  <c r="U12" i="8"/>
  <c r="CJ11" i="8"/>
  <c r="CD11" i="8"/>
  <c r="BX11" i="8"/>
  <c r="BR11" i="8"/>
  <c r="BK11" i="8"/>
  <c r="BE11" i="8"/>
  <c r="AY11" i="8"/>
  <c r="AS11" i="8"/>
  <c r="AM11" i="8"/>
  <c r="AG11" i="8"/>
  <c r="AA11" i="8"/>
  <c r="U11" i="8"/>
  <c r="CJ10" i="8"/>
  <c r="CD10" i="8"/>
  <c r="BX10" i="8"/>
  <c r="BR10" i="8"/>
  <c r="BK10" i="8"/>
  <c r="BE10" i="8"/>
  <c r="AY10" i="8"/>
  <c r="AS10" i="8"/>
  <c r="AM10" i="8"/>
  <c r="AG10" i="8"/>
  <c r="AA10" i="8"/>
  <c r="U10" i="8"/>
  <c r="CJ9" i="8"/>
  <c r="CD9" i="8"/>
  <c r="BX9" i="8"/>
  <c r="BR9" i="8"/>
  <c r="BK9" i="8"/>
  <c r="BE9" i="8"/>
  <c r="AY9" i="8"/>
  <c r="AS9" i="8"/>
  <c r="AM9" i="8"/>
  <c r="AG9" i="8"/>
  <c r="AA9" i="8"/>
  <c r="U9" i="8"/>
  <c r="CJ8" i="8"/>
  <c r="CD8" i="8"/>
  <c r="BX8" i="8"/>
  <c r="BR8" i="8"/>
  <c r="BE8" i="8"/>
  <c r="AY8" i="8"/>
  <c r="AS8" i="8"/>
  <c r="AM8" i="8"/>
  <c r="AG8" i="8"/>
  <c r="AA8" i="8"/>
  <c r="U8" i="8"/>
  <c r="CJ7" i="8"/>
  <c r="CD7" i="8"/>
  <c r="BX7" i="8"/>
  <c r="BR7" i="8"/>
  <c r="BK7" i="8"/>
  <c r="BE7" i="8"/>
  <c r="AY7" i="8"/>
  <c r="AS7" i="8"/>
  <c r="AM7" i="8"/>
  <c r="AG7" i="8"/>
  <c r="AA7" i="8"/>
  <c r="U7" i="8"/>
  <c r="CJ6" i="8"/>
  <c r="CD6" i="8"/>
  <c r="BX6" i="8"/>
  <c r="BR6" i="8"/>
  <c r="BK6" i="8"/>
  <c r="BE6" i="8"/>
  <c r="AY6" i="8"/>
  <c r="AS6" i="8"/>
  <c r="AM6" i="8"/>
  <c r="AG6" i="8"/>
  <c r="AA6" i="8"/>
  <c r="U6" i="8"/>
  <c r="CJ5" i="8"/>
  <c r="CD5" i="8"/>
  <c r="BX5" i="8"/>
  <c r="BR5" i="8"/>
  <c r="BK5" i="8"/>
  <c r="BE5" i="8"/>
  <c r="AY5" i="8"/>
  <c r="AS5" i="8"/>
  <c r="AM5" i="8"/>
  <c r="AG5" i="8"/>
  <c r="AA5" i="8"/>
  <c r="U5" i="8"/>
  <c r="CJ4" i="8"/>
  <c r="CD4" i="8"/>
  <c r="BX4" i="8"/>
  <c r="BR4" i="8"/>
  <c r="BK4" i="8"/>
  <c r="BE4" i="8"/>
  <c r="AY4" i="8"/>
  <c r="AS4" i="8"/>
  <c r="AM4" i="8"/>
  <c r="AG4" i="8"/>
  <c r="AA4" i="8"/>
  <c r="U4" i="8"/>
  <c r="CF34" i="1"/>
  <c r="BZ34" i="1"/>
  <c r="BT34" i="1"/>
  <c r="BN34" i="1"/>
  <c r="BG34" i="1"/>
  <c r="BA34" i="1"/>
  <c r="AU34" i="1"/>
  <c r="AO34" i="1"/>
  <c r="AI34" i="1"/>
  <c r="AC34" i="1"/>
  <c r="W34" i="1"/>
  <c r="Q34" i="1"/>
  <c r="CF33" i="1"/>
  <c r="BZ33" i="1"/>
  <c r="BT33" i="1"/>
  <c r="BN33" i="1"/>
  <c r="BG33" i="1"/>
  <c r="BA33" i="1"/>
  <c r="AU33" i="1"/>
  <c r="AO33" i="1"/>
  <c r="AI33" i="1"/>
  <c r="AC33" i="1"/>
  <c r="W33" i="1"/>
  <c r="Q33" i="1"/>
  <c r="CF32" i="1"/>
  <c r="BZ32" i="1"/>
  <c r="BT32" i="1"/>
  <c r="BN32" i="1"/>
  <c r="BG32" i="1"/>
  <c r="BA32" i="1"/>
  <c r="AU32" i="1"/>
  <c r="AO32" i="1"/>
  <c r="AI32" i="1"/>
  <c r="AC32" i="1"/>
  <c r="W32" i="1"/>
  <c r="Q32" i="1"/>
  <c r="CF31" i="1"/>
  <c r="BZ31" i="1"/>
  <c r="BT31" i="1"/>
  <c r="BN31" i="1"/>
  <c r="BG31" i="1"/>
  <c r="BA31" i="1"/>
  <c r="AU31" i="1"/>
  <c r="AO31" i="1"/>
  <c r="AI31" i="1"/>
  <c r="AC31" i="1"/>
  <c r="W31" i="1"/>
  <c r="Q31" i="1"/>
  <c r="CF30" i="1"/>
  <c r="BZ30" i="1"/>
  <c r="BT30" i="1"/>
  <c r="BN30" i="1"/>
  <c r="BG30" i="1"/>
  <c r="BA30" i="1"/>
  <c r="AU30" i="1"/>
  <c r="AO30" i="1"/>
  <c r="AI30" i="1"/>
  <c r="AC30" i="1"/>
  <c r="W30" i="1"/>
  <c r="Q30" i="1"/>
  <c r="CF29" i="1"/>
  <c r="BZ29" i="1"/>
  <c r="BT29" i="1"/>
  <c r="BN29" i="1"/>
  <c r="BG29" i="1"/>
  <c r="BA29" i="1"/>
  <c r="AU29" i="1"/>
  <c r="AO29" i="1"/>
  <c r="AI29" i="1"/>
  <c r="AC29" i="1"/>
  <c r="W29" i="1"/>
  <c r="Q29" i="1"/>
  <c r="CF28" i="1"/>
  <c r="BZ28" i="1"/>
  <c r="BT28" i="1"/>
  <c r="BN28" i="1"/>
  <c r="BG28" i="1"/>
  <c r="BA28" i="1"/>
  <c r="AU28" i="1"/>
  <c r="AO28" i="1"/>
  <c r="AI28" i="1"/>
  <c r="AC28" i="1"/>
  <c r="W28" i="1"/>
  <c r="Q28" i="1"/>
  <c r="CF27" i="1"/>
  <c r="BZ27" i="1"/>
  <c r="BT27" i="1"/>
  <c r="BN27" i="1"/>
  <c r="BG27" i="1"/>
  <c r="BA27" i="1"/>
  <c r="AU27" i="1"/>
  <c r="AO27" i="1"/>
  <c r="AI27" i="1"/>
  <c r="AC27" i="1"/>
  <c r="W27" i="1"/>
  <c r="Q27" i="1"/>
  <c r="CF26" i="1"/>
  <c r="BZ26" i="1"/>
  <c r="BT26" i="1"/>
  <c r="BN26" i="1"/>
  <c r="BG26" i="1"/>
  <c r="BA26" i="1"/>
  <c r="AU26" i="1"/>
  <c r="AO26" i="1"/>
  <c r="AI26" i="1"/>
  <c r="AC26" i="1"/>
  <c r="W26" i="1"/>
  <c r="Q26" i="1"/>
  <c r="CF25" i="1"/>
  <c r="BZ25" i="1"/>
  <c r="BT25" i="1"/>
  <c r="BN25" i="1"/>
  <c r="BG25" i="1"/>
  <c r="BA25" i="1"/>
  <c r="AU25" i="1"/>
  <c r="AO25" i="1"/>
  <c r="AI25" i="1"/>
  <c r="AC25" i="1"/>
  <c r="W25" i="1"/>
  <c r="Q25" i="1"/>
  <c r="CF24" i="1"/>
  <c r="BZ24" i="1"/>
  <c r="BT24" i="1"/>
  <c r="BN24" i="1"/>
  <c r="BG24" i="1"/>
  <c r="BA24" i="1"/>
  <c r="AU24" i="1"/>
  <c r="AO24" i="1"/>
  <c r="AI24" i="1"/>
  <c r="AC24" i="1"/>
  <c r="W24" i="1"/>
  <c r="Q24" i="1"/>
  <c r="CF23" i="1"/>
  <c r="BZ23" i="1"/>
  <c r="BT23" i="1"/>
  <c r="BN23" i="1"/>
  <c r="BG23" i="1"/>
  <c r="BA23" i="1"/>
  <c r="AU23" i="1"/>
  <c r="AO23" i="1"/>
  <c r="AI23" i="1"/>
  <c r="AC23" i="1"/>
  <c r="W23" i="1"/>
  <c r="Q23" i="1"/>
  <c r="CF22" i="1"/>
  <c r="BZ22" i="1"/>
  <c r="BT22" i="1"/>
  <c r="BN22" i="1"/>
  <c r="BG22" i="1"/>
  <c r="BA22" i="1"/>
  <c r="AU22" i="1"/>
  <c r="AO22" i="1"/>
  <c r="AI22" i="1"/>
  <c r="AC22" i="1"/>
  <c r="W22" i="1"/>
  <c r="Q22" i="1"/>
  <c r="CF21" i="1"/>
  <c r="BZ21" i="1"/>
  <c r="BT21" i="1"/>
  <c r="BN21" i="1"/>
  <c r="BG21" i="1"/>
  <c r="BA21" i="1"/>
  <c r="AU21" i="1"/>
  <c r="AO21" i="1"/>
  <c r="AI21" i="1"/>
  <c r="AC21" i="1"/>
  <c r="W21" i="1"/>
  <c r="Q21" i="1"/>
  <c r="CF20" i="1"/>
  <c r="BZ20" i="1"/>
  <c r="BT20" i="1"/>
  <c r="BN20" i="1"/>
  <c r="BG20" i="1"/>
  <c r="BA20" i="1"/>
  <c r="AU20" i="1"/>
  <c r="AO20" i="1"/>
  <c r="AI20" i="1"/>
  <c r="W20" i="1"/>
  <c r="Q20" i="1"/>
  <c r="CF19" i="1"/>
  <c r="BZ19" i="1"/>
  <c r="BT19" i="1"/>
  <c r="BN19" i="1"/>
  <c r="BG19" i="1"/>
  <c r="BA19" i="1"/>
  <c r="AU19" i="1"/>
  <c r="AO19" i="1"/>
  <c r="AI19" i="1"/>
  <c r="AC19" i="1"/>
  <c r="W19" i="1"/>
  <c r="Q19" i="1"/>
  <c r="CF18" i="1"/>
  <c r="BZ18" i="1"/>
  <c r="BT18" i="1"/>
  <c r="BN18" i="1"/>
  <c r="BG18" i="1"/>
  <c r="BA18" i="1"/>
  <c r="AU18" i="1"/>
  <c r="AO18" i="1"/>
  <c r="AI18" i="1"/>
  <c r="AC18" i="1"/>
  <c r="W18" i="1"/>
  <c r="Q18" i="1"/>
  <c r="CF17" i="1"/>
  <c r="BZ17" i="1"/>
  <c r="BT17" i="1"/>
  <c r="BN17" i="1"/>
  <c r="BG17" i="1"/>
  <c r="BA17" i="1"/>
  <c r="AU17" i="1"/>
  <c r="AO17" i="1"/>
  <c r="AI17" i="1"/>
  <c r="AC17" i="1"/>
  <c r="W17" i="1"/>
  <c r="Q17" i="1"/>
  <c r="CF16" i="1"/>
  <c r="BZ16" i="1"/>
  <c r="BT16" i="1"/>
  <c r="BN16" i="1"/>
  <c r="BG16" i="1"/>
  <c r="BA16" i="1"/>
  <c r="AU16" i="1"/>
  <c r="AO16" i="1"/>
  <c r="AI16" i="1"/>
  <c r="AC16" i="1"/>
  <c r="W16" i="1"/>
  <c r="Q16" i="1"/>
  <c r="CF15" i="1"/>
  <c r="BZ15" i="1"/>
  <c r="BT15" i="1"/>
  <c r="BN15" i="1"/>
  <c r="BG15" i="1"/>
  <c r="BA15" i="1"/>
  <c r="AU15" i="1"/>
  <c r="AO15" i="1"/>
  <c r="AI15" i="1"/>
  <c r="AC15" i="1"/>
  <c r="W15" i="1"/>
  <c r="Q15" i="1"/>
  <c r="CF14" i="1"/>
  <c r="BZ14" i="1"/>
  <c r="BT14" i="1"/>
  <c r="BN14" i="1"/>
  <c r="BG14" i="1"/>
  <c r="BA14" i="1"/>
  <c r="AU14" i="1"/>
  <c r="AO14" i="1"/>
  <c r="AI14" i="1"/>
  <c r="AC14" i="1"/>
  <c r="W14" i="1"/>
  <c r="Q14" i="1"/>
  <c r="CF13" i="1"/>
  <c r="BZ13" i="1"/>
  <c r="BT13" i="1"/>
  <c r="BN13" i="1"/>
  <c r="BG13" i="1"/>
  <c r="BA13" i="1"/>
  <c r="AU13" i="1"/>
  <c r="AO13" i="1"/>
  <c r="AI13" i="1"/>
  <c r="AC13" i="1"/>
  <c r="W13" i="1"/>
  <c r="Q13" i="1"/>
  <c r="CF12" i="1"/>
  <c r="BZ12" i="1"/>
  <c r="BT12" i="1"/>
  <c r="BN12" i="1"/>
  <c r="BG12" i="1"/>
  <c r="BA12" i="1"/>
  <c r="AU12" i="1"/>
  <c r="AO12" i="1"/>
  <c r="AI12" i="1"/>
  <c r="AC12" i="1"/>
  <c r="W12" i="1"/>
  <c r="Q12" i="1"/>
  <c r="CF11" i="1"/>
  <c r="BZ11" i="1"/>
  <c r="BT11" i="1"/>
  <c r="BN11" i="1"/>
  <c r="BG11" i="1"/>
  <c r="BA11" i="1"/>
  <c r="AU11" i="1"/>
  <c r="AO11" i="1"/>
  <c r="AI11" i="1"/>
  <c r="AC11" i="1"/>
  <c r="W11" i="1"/>
  <c r="Q11" i="1"/>
  <c r="CF10" i="1"/>
  <c r="BZ10" i="1"/>
  <c r="BT10" i="1"/>
  <c r="BN10" i="1"/>
  <c r="BG10" i="1"/>
  <c r="BA10" i="1"/>
  <c r="AU10" i="1"/>
  <c r="AO10" i="1"/>
  <c r="AI10" i="1"/>
  <c r="AC10" i="1"/>
  <c r="W10" i="1"/>
  <c r="Q10" i="1"/>
  <c r="CF9" i="1"/>
  <c r="BZ9" i="1"/>
  <c r="BT9" i="1"/>
  <c r="BN9" i="1"/>
  <c r="BG9" i="1"/>
  <c r="BA9" i="1"/>
  <c r="AU9" i="1"/>
  <c r="AO9" i="1"/>
  <c r="AI9" i="1"/>
  <c r="AC9" i="1"/>
  <c r="W9" i="1"/>
  <c r="Q9" i="1"/>
  <c r="CF8" i="1"/>
  <c r="BZ8" i="1"/>
  <c r="BT8" i="1"/>
  <c r="BN8" i="1"/>
  <c r="BG8" i="1"/>
  <c r="BA8" i="1"/>
  <c r="AU8" i="1"/>
  <c r="AO8" i="1"/>
  <c r="AI8" i="1"/>
  <c r="AC8" i="1"/>
  <c r="W8" i="1"/>
  <c r="Q8" i="1"/>
  <c r="CF7" i="1"/>
  <c r="BZ7" i="1"/>
  <c r="BT7" i="1"/>
  <c r="BN7" i="1"/>
  <c r="BG7" i="1"/>
  <c r="BA7" i="1"/>
  <c r="AU7" i="1"/>
  <c r="AO7" i="1"/>
  <c r="AI7" i="1"/>
  <c r="AC7" i="1"/>
  <c r="W7" i="1"/>
  <c r="Q7" i="1"/>
  <c r="CF6" i="1"/>
  <c r="BZ6" i="1"/>
  <c r="BT6" i="1"/>
  <c r="BN6" i="1"/>
  <c r="BG6" i="1"/>
  <c r="BA6" i="1"/>
  <c r="AU6" i="1"/>
  <c r="AO6" i="1"/>
  <c r="AI6" i="1"/>
  <c r="AC6" i="1"/>
  <c r="W6" i="1"/>
  <c r="Q6" i="1"/>
  <c r="CF5" i="1"/>
  <c r="BZ5" i="1"/>
  <c r="BT5" i="1"/>
  <c r="BN5" i="1"/>
  <c r="BG5" i="1"/>
  <c r="BA5" i="1"/>
  <c r="AU5" i="1"/>
  <c r="AO5" i="1"/>
  <c r="AI5" i="1"/>
  <c r="AC5" i="1"/>
  <c r="W5" i="1"/>
  <c r="Q5" i="1"/>
  <c r="CF4" i="1"/>
  <c r="BZ4" i="1"/>
  <c r="BT4" i="1"/>
  <c r="BN4" i="1"/>
  <c r="BG4" i="1"/>
  <c r="BA4" i="1"/>
  <c r="AU4" i="1"/>
  <c r="AO4" i="1"/>
  <c r="AI4" i="1"/>
  <c r="AC4" i="1"/>
  <c r="W4" i="1"/>
  <c r="Q4" i="1"/>
  <c r="CK39" i="2"/>
  <c r="CE39" i="2"/>
  <c r="BY39" i="2"/>
  <c r="BS39" i="2"/>
  <c r="BL39" i="2"/>
  <c r="BF39" i="2"/>
  <c r="AZ39" i="2"/>
  <c r="AT39" i="2"/>
  <c r="AN39" i="2"/>
  <c r="AH39" i="2"/>
  <c r="AB39" i="2"/>
  <c r="V39" i="2"/>
  <c r="CK38" i="2"/>
  <c r="CE38" i="2"/>
  <c r="BY38" i="2"/>
  <c r="BS38" i="2"/>
  <c r="BL38" i="2"/>
  <c r="BF38" i="2"/>
  <c r="AZ38" i="2"/>
  <c r="AT38" i="2"/>
  <c r="AN38" i="2"/>
  <c r="AB38" i="2"/>
  <c r="V38" i="2"/>
  <c r="CK37" i="2"/>
  <c r="CE37" i="2"/>
  <c r="BL37" i="2"/>
  <c r="BF37" i="2"/>
  <c r="AZ37" i="2"/>
  <c r="AT37" i="2"/>
  <c r="AN37" i="2"/>
  <c r="AH37" i="2"/>
  <c r="AB37" i="2"/>
  <c r="V37" i="2"/>
  <c r="CK36" i="2"/>
  <c r="CE36" i="2"/>
  <c r="BY36" i="2"/>
  <c r="BS36" i="2"/>
  <c r="BL36" i="2"/>
  <c r="BF36" i="2"/>
  <c r="AZ36" i="2"/>
  <c r="AT36" i="2"/>
  <c r="AN36" i="2"/>
  <c r="AH36" i="2"/>
  <c r="AB36" i="2"/>
  <c r="V36" i="2"/>
  <c r="CK35" i="2"/>
  <c r="CE35" i="2"/>
  <c r="BY35" i="2"/>
  <c r="BS35" i="2"/>
  <c r="BL35" i="2"/>
  <c r="BF35" i="2"/>
  <c r="AZ35" i="2"/>
  <c r="AT35" i="2"/>
  <c r="AN35" i="2"/>
  <c r="AH35" i="2"/>
  <c r="AB35" i="2"/>
  <c r="V35" i="2"/>
  <c r="CK34" i="2"/>
  <c r="CE34" i="2"/>
  <c r="BY34" i="2"/>
  <c r="BS34" i="2"/>
  <c r="BL34" i="2"/>
  <c r="BF34" i="2"/>
  <c r="AZ34" i="2"/>
  <c r="AT34" i="2"/>
  <c r="AN34" i="2"/>
  <c r="AB34" i="2"/>
  <c r="V34" i="2"/>
  <c r="CK33" i="2"/>
  <c r="CE33" i="2"/>
  <c r="BY33" i="2"/>
  <c r="BS33" i="2"/>
  <c r="BL33" i="2"/>
  <c r="BF33" i="2"/>
  <c r="AZ33" i="2"/>
  <c r="AT33" i="2"/>
  <c r="AN33" i="2"/>
  <c r="AH33" i="2"/>
  <c r="AB33" i="2"/>
  <c r="V33" i="2"/>
  <c r="CK32" i="2"/>
  <c r="CE32" i="2"/>
  <c r="BY32" i="2"/>
  <c r="BS32" i="2"/>
  <c r="BL32" i="2"/>
  <c r="BF32" i="2"/>
  <c r="AZ32" i="2"/>
  <c r="AT32" i="2"/>
  <c r="AN32" i="2"/>
  <c r="AH32" i="2"/>
  <c r="AB32" i="2"/>
  <c r="V32" i="2"/>
  <c r="CK31" i="2"/>
  <c r="CE31" i="2"/>
  <c r="BY31" i="2"/>
  <c r="BS31" i="2"/>
  <c r="BL31" i="2"/>
  <c r="BF31" i="2"/>
  <c r="AZ31" i="2"/>
  <c r="AT31" i="2"/>
  <c r="AN31" i="2"/>
  <c r="AH31" i="2"/>
  <c r="AB31" i="2"/>
  <c r="V31" i="2"/>
  <c r="CK30" i="2"/>
  <c r="CE30" i="2"/>
  <c r="BY30" i="2"/>
  <c r="BS30" i="2"/>
  <c r="BL30" i="2"/>
  <c r="BF30" i="2"/>
  <c r="AZ30" i="2"/>
  <c r="AT30" i="2"/>
  <c r="AN30" i="2"/>
  <c r="AH30" i="2"/>
  <c r="AB30" i="2"/>
  <c r="V30" i="2"/>
  <c r="CK29" i="2"/>
  <c r="CE29" i="2"/>
  <c r="BY29" i="2"/>
  <c r="BS29" i="2"/>
  <c r="BL29" i="2"/>
  <c r="BF29" i="2"/>
  <c r="AZ29" i="2"/>
  <c r="AT29" i="2"/>
  <c r="AN29" i="2"/>
  <c r="AH29" i="2"/>
  <c r="AB29" i="2"/>
  <c r="V29" i="2"/>
  <c r="CK28" i="2"/>
  <c r="CE28" i="2"/>
  <c r="BY28" i="2"/>
  <c r="BS28" i="2"/>
  <c r="BL28" i="2"/>
  <c r="BF28" i="2"/>
  <c r="AZ28" i="2"/>
  <c r="AT28" i="2"/>
  <c r="AN28" i="2"/>
  <c r="AH28" i="2"/>
  <c r="AB28" i="2"/>
  <c r="V28" i="2"/>
  <c r="CK27" i="2"/>
  <c r="CE27" i="2"/>
  <c r="BY27" i="2"/>
  <c r="BS27" i="2"/>
  <c r="BL27" i="2"/>
  <c r="BF27" i="2"/>
  <c r="AZ27" i="2"/>
  <c r="AT27" i="2"/>
  <c r="AN27" i="2"/>
  <c r="AH27" i="2"/>
  <c r="AB27" i="2"/>
  <c r="V27" i="2"/>
  <c r="CK26" i="2"/>
  <c r="CE26" i="2"/>
  <c r="BY26" i="2"/>
  <c r="BS26" i="2"/>
  <c r="BL26" i="2"/>
  <c r="BF26" i="2"/>
  <c r="AZ26" i="2"/>
  <c r="AT26" i="2"/>
  <c r="AN26" i="2"/>
  <c r="AH26" i="2"/>
  <c r="AB26" i="2"/>
  <c r="V26" i="2"/>
  <c r="CK25" i="2"/>
  <c r="CE25" i="2"/>
  <c r="BY25" i="2"/>
  <c r="BS25" i="2"/>
  <c r="BL25" i="2"/>
  <c r="BF25" i="2"/>
  <c r="AZ25" i="2"/>
  <c r="AT25" i="2"/>
  <c r="AN25" i="2"/>
  <c r="AH25" i="2"/>
  <c r="AB25" i="2"/>
  <c r="V25" i="2"/>
  <c r="CK24" i="2"/>
  <c r="CE24" i="2"/>
  <c r="BY24" i="2"/>
  <c r="BS24" i="2"/>
  <c r="P24" i="2" s="1"/>
  <c r="BL24" i="2"/>
  <c r="BF24" i="2"/>
  <c r="AZ24" i="2"/>
  <c r="AT24" i="2"/>
  <c r="AN24" i="2"/>
  <c r="AH24" i="2"/>
  <c r="AB24" i="2"/>
  <c r="V24" i="2"/>
  <c r="CK23" i="2"/>
  <c r="CE23" i="2"/>
  <c r="BY23" i="2"/>
  <c r="BS23" i="2"/>
  <c r="BL23" i="2"/>
  <c r="BF23" i="2"/>
  <c r="AZ23" i="2"/>
  <c r="AT23" i="2"/>
  <c r="AN23" i="2"/>
  <c r="AH23" i="2"/>
  <c r="AB23" i="2"/>
  <c r="V23" i="2"/>
  <c r="CK22" i="2"/>
  <c r="CE22" i="2"/>
  <c r="BY22" i="2"/>
  <c r="BS22" i="2"/>
  <c r="BL22" i="2"/>
  <c r="BF22" i="2"/>
  <c r="AZ22" i="2"/>
  <c r="AT22" i="2"/>
  <c r="AN22" i="2"/>
  <c r="AH22" i="2"/>
  <c r="AB22" i="2"/>
  <c r="V22" i="2"/>
  <c r="CK21" i="2"/>
  <c r="CE21" i="2"/>
  <c r="BY21" i="2"/>
  <c r="BS21" i="2"/>
  <c r="BL21" i="2"/>
  <c r="BF21" i="2"/>
  <c r="AZ21" i="2"/>
  <c r="AT21" i="2"/>
  <c r="AN21" i="2"/>
  <c r="AH21" i="2"/>
  <c r="AB21" i="2"/>
  <c r="V21" i="2"/>
  <c r="CK20" i="2"/>
  <c r="CE20" i="2"/>
  <c r="BY20" i="2"/>
  <c r="BS20" i="2"/>
  <c r="BL20" i="2"/>
  <c r="BF20" i="2"/>
  <c r="AZ20" i="2"/>
  <c r="AT20" i="2"/>
  <c r="AN20" i="2"/>
  <c r="AH20" i="2"/>
  <c r="AB20" i="2"/>
  <c r="V20" i="2"/>
  <c r="CK19" i="2"/>
  <c r="CE19" i="2"/>
  <c r="BY19" i="2"/>
  <c r="BS19" i="2"/>
  <c r="BL19" i="2"/>
  <c r="BF19" i="2"/>
  <c r="AZ19" i="2"/>
  <c r="AT19" i="2"/>
  <c r="AN19" i="2"/>
  <c r="AH19" i="2"/>
  <c r="AB19" i="2"/>
  <c r="V19" i="2"/>
  <c r="CK18" i="2"/>
  <c r="CE18" i="2"/>
  <c r="BY18" i="2"/>
  <c r="BS18" i="2"/>
  <c r="BL18" i="2"/>
  <c r="BF18" i="2"/>
  <c r="AZ18" i="2"/>
  <c r="AT18" i="2"/>
  <c r="AN18" i="2"/>
  <c r="AH18" i="2"/>
  <c r="AB18" i="2"/>
  <c r="V18" i="2"/>
  <c r="CK17" i="2"/>
  <c r="CE17" i="2"/>
  <c r="BY17" i="2"/>
  <c r="BS17" i="2"/>
  <c r="BL17" i="2"/>
  <c r="BF17" i="2"/>
  <c r="AZ17" i="2"/>
  <c r="AT17" i="2"/>
  <c r="AN17" i="2"/>
  <c r="AH17" i="2"/>
  <c r="AB17" i="2"/>
  <c r="V17" i="2"/>
  <c r="CK16" i="2"/>
  <c r="CE16" i="2"/>
  <c r="BY16" i="2"/>
  <c r="BS16" i="2"/>
  <c r="BL16" i="2"/>
  <c r="BF16" i="2"/>
  <c r="AZ16" i="2"/>
  <c r="AT16" i="2"/>
  <c r="AN16" i="2"/>
  <c r="AH16" i="2"/>
  <c r="AB16" i="2"/>
  <c r="V16" i="2"/>
  <c r="CK15" i="2"/>
  <c r="CE15" i="2"/>
  <c r="BY15" i="2"/>
  <c r="BS15" i="2"/>
  <c r="BL15" i="2"/>
  <c r="BF15" i="2"/>
  <c r="AZ15" i="2"/>
  <c r="AT15" i="2"/>
  <c r="AN15" i="2"/>
  <c r="AH15" i="2"/>
  <c r="AB15" i="2"/>
  <c r="V15" i="2"/>
  <c r="CK14" i="2"/>
  <c r="CE14" i="2"/>
  <c r="BY14" i="2"/>
  <c r="BS14" i="2"/>
  <c r="BL14" i="2"/>
  <c r="BF14" i="2"/>
  <c r="AZ14" i="2"/>
  <c r="AT14" i="2"/>
  <c r="AN14" i="2"/>
  <c r="AH14" i="2"/>
  <c r="AB14" i="2"/>
  <c r="V14" i="2"/>
  <c r="CK13" i="2"/>
  <c r="CE13" i="2"/>
  <c r="BY13" i="2"/>
  <c r="BS13" i="2"/>
  <c r="BL13" i="2"/>
  <c r="BF13" i="2"/>
  <c r="AZ13" i="2"/>
  <c r="AT13" i="2"/>
  <c r="AN13" i="2"/>
  <c r="AH13" i="2"/>
  <c r="AB13" i="2"/>
  <c r="V13" i="2"/>
  <c r="CK12" i="2"/>
  <c r="CE12" i="2"/>
  <c r="BY12" i="2"/>
  <c r="BS12" i="2"/>
  <c r="BL12" i="2"/>
  <c r="O12" i="2" s="1"/>
  <c r="N12" i="2" s="1"/>
  <c r="L12" i="2" s="1"/>
  <c r="BF12" i="2"/>
  <c r="AZ12" i="2"/>
  <c r="AT12" i="2"/>
  <c r="AN12" i="2"/>
  <c r="AH12" i="2"/>
  <c r="AB12" i="2"/>
  <c r="V12" i="2"/>
  <c r="CK11" i="2"/>
  <c r="CE11" i="2"/>
  <c r="BY11" i="2"/>
  <c r="BS11" i="2"/>
  <c r="BL11" i="2"/>
  <c r="BF11" i="2"/>
  <c r="AZ11" i="2"/>
  <c r="AT11" i="2"/>
  <c r="AN11" i="2"/>
  <c r="AH11" i="2"/>
  <c r="AB11" i="2"/>
  <c r="V11" i="2"/>
  <c r="CK10" i="2"/>
  <c r="CE10" i="2"/>
  <c r="BY10" i="2"/>
  <c r="BS10" i="2"/>
  <c r="BL10" i="2"/>
  <c r="BF10" i="2"/>
  <c r="AZ10" i="2"/>
  <c r="AT10" i="2"/>
  <c r="AN10" i="2"/>
  <c r="AH10" i="2"/>
  <c r="AB10" i="2"/>
  <c r="V10" i="2"/>
  <c r="CK9" i="2"/>
  <c r="CE9" i="2"/>
  <c r="BY9" i="2"/>
  <c r="BS9" i="2"/>
  <c r="BL9" i="2"/>
  <c r="BF9" i="2"/>
  <c r="AZ9" i="2"/>
  <c r="AT9" i="2"/>
  <c r="AN9" i="2"/>
  <c r="AH9" i="2"/>
  <c r="AB9" i="2"/>
  <c r="V9" i="2"/>
  <c r="CK8" i="2"/>
  <c r="CE8" i="2"/>
  <c r="BY8" i="2"/>
  <c r="BS8" i="2"/>
  <c r="BL8" i="2"/>
  <c r="BF8" i="2"/>
  <c r="AZ8" i="2"/>
  <c r="AT8" i="2"/>
  <c r="AN8" i="2"/>
  <c r="AH8" i="2"/>
  <c r="AB8" i="2"/>
  <c r="V8" i="2"/>
  <c r="CK7" i="2"/>
  <c r="CE7" i="2"/>
  <c r="BY7" i="2"/>
  <c r="BS7" i="2"/>
  <c r="BL7" i="2"/>
  <c r="BF7" i="2"/>
  <c r="AZ7" i="2"/>
  <c r="AT7" i="2"/>
  <c r="AN7" i="2"/>
  <c r="AH7" i="2"/>
  <c r="AB7" i="2"/>
  <c r="V7" i="2"/>
  <c r="CK6" i="2"/>
  <c r="CE6" i="2"/>
  <c r="BY6" i="2"/>
  <c r="BS6" i="2"/>
  <c r="BL6" i="2"/>
  <c r="BF6" i="2"/>
  <c r="AZ6" i="2"/>
  <c r="AT6" i="2"/>
  <c r="AN6" i="2"/>
  <c r="AH6" i="2"/>
  <c r="AB6" i="2"/>
  <c r="V6" i="2"/>
  <c r="CK5" i="2"/>
  <c r="CE5" i="2"/>
  <c r="BY5" i="2"/>
  <c r="BS5" i="2"/>
  <c r="BL5" i="2"/>
  <c r="BF5" i="2"/>
  <c r="AZ5" i="2"/>
  <c r="AT5" i="2"/>
  <c r="AN5" i="2"/>
  <c r="AH5" i="2"/>
  <c r="AB5" i="2"/>
  <c r="V5" i="2"/>
  <c r="CK4" i="2"/>
  <c r="CE4" i="2"/>
  <c r="BY4" i="2"/>
  <c r="BS4" i="2"/>
  <c r="P4" i="2" s="1"/>
  <c r="BL4" i="2"/>
  <c r="BF4" i="2"/>
  <c r="AZ4" i="2"/>
  <c r="AT4" i="2"/>
  <c r="AN4" i="2"/>
  <c r="AH4" i="2"/>
  <c r="AB4" i="2"/>
  <c r="V4" i="2"/>
  <c r="BU18" i="4"/>
  <c r="BH37" i="4"/>
  <c r="BH40" i="4"/>
  <c r="BB40" i="4"/>
  <c r="AV40" i="4"/>
  <c r="AP40" i="4"/>
  <c r="AJ40" i="4"/>
  <c r="AD40" i="4"/>
  <c r="X40" i="4"/>
  <c r="R40" i="4"/>
  <c r="CG40" i="4"/>
  <c r="CA40" i="4"/>
  <c r="BU40" i="4"/>
  <c r="BO40" i="4"/>
  <c r="BB32" i="4"/>
  <c r="BO16" i="4"/>
  <c r="BH39" i="4"/>
  <c r="BH38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H3" i="4"/>
  <c r="BB39" i="4"/>
  <c r="BB38" i="4"/>
  <c r="BB37" i="4"/>
  <c r="BB36" i="4"/>
  <c r="BB35" i="4"/>
  <c r="BB34" i="4"/>
  <c r="BB33" i="4"/>
  <c r="BB31" i="4"/>
  <c r="BB30" i="4"/>
  <c r="BB29" i="4"/>
  <c r="BB28" i="4"/>
  <c r="BB27" i="4"/>
  <c r="BB26" i="4"/>
  <c r="BB25" i="4"/>
  <c r="BB24" i="4"/>
  <c r="BB23" i="4"/>
  <c r="BB22" i="4"/>
  <c r="BB21" i="4"/>
  <c r="BB20" i="4"/>
  <c r="BB19" i="4"/>
  <c r="BB18" i="4"/>
  <c r="BB17" i="4"/>
  <c r="BB16" i="4"/>
  <c r="BB15" i="4"/>
  <c r="BB14" i="4"/>
  <c r="BB13" i="4"/>
  <c r="BB12" i="4"/>
  <c r="BB11" i="4"/>
  <c r="BB10" i="4"/>
  <c r="BB9" i="4"/>
  <c r="BB8" i="4"/>
  <c r="BB7" i="4"/>
  <c r="BB6" i="4"/>
  <c r="BB5" i="4"/>
  <c r="BB4" i="4"/>
  <c r="BB3" i="4"/>
  <c r="AV39" i="4"/>
  <c r="AV38" i="4"/>
  <c r="AV37" i="4"/>
  <c r="AV36" i="4"/>
  <c r="AV35" i="4"/>
  <c r="AV34" i="4"/>
  <c r="AV33" i="4"/>
  <c r="AV32" i="4"/>
  <c r="AV31" i="4"/>
  <c r="AV30" i="4"/>
  <c r="AV29" i="4"/>
  <c r="AV28" i="4"/>
  <c r="AV27" i="4"/>
  <c r="AV26" i="4"/>
  <c r="AV25" i="4"/>
  <c r="AV24" i="4"/>
  <c r="AV23" i="4"/>
  <c r="AV22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9" i="4"/>
  <c r="AV8" i="4"/>
  <c r="AV7" i="4"/>
  <c r="AV6" i="4"/>
  <c r="AV5" i="4"/>
  <c r="AV4" i="4"/>
  <c r="AV3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AD39" i="4"/>
  <c r="AD38" i="4"/>
  <c r="AD37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4" i="4"/>
  <c r="X3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CG39" i="4"/>
  <c r="CG38" i="4"/>
  <c r="CG37" i="4"/>
  <c r="CG36" i="4"/>
  <c r="CG35" i="4"/>
  <c r="CG34" i="4"/>
  <c r="CG33" i="4"/>
  <c r="CG32" i="4"/>
  <c r="CG31" i="4"/>
  <c r="CG30" i="4"/>
  <c r="CG29" i="4"/>
  <c r="CG28" i="4"/>
  <c r="CG27" i="4"/>
  <c r="CG26" i="4"/>
  <c r="CG25" i="4"/>
  <c r="CG24" i="4"/>
  <c r="CG23" i="4"/>
  <c r="CG22" i="4"/>
  <c r="CG21" i="4"/>
  <c r="CG20" i="4"/>
  <c r="CG19" i="4"/>
  <c r="CG18" i="4"/>
  <c r="CG17" i="4"/>
  <c r="CG16" i="4"/>
  <c r="CG15" i="4"/>
  <c r="CG14" i="4"/>
  <c r="CG13" i="4"/>
  <c r="CG12" i="4"/>
  <c r="CG11" i="4"/>
  <c r="CG10" i="4"/>
  <c r="CG9" i="4"/>
  <c r="CG8" i="4"/>
  <c r="CG7" i="4"/>
  <c r="CG6" i="4"/>
  <c r="CG5" i="4"/>
  <c r="CG4" i="4"/>
  <c r="CG3" i="4"/>
  <c r="CA3" i="4"/>
  <c r="CA39" i="4"/>
  <c r="CA38" i="4"/>
  <c r="CA37" i="4"/>
  <c r="CA36" i="4"/>
  <c r="CA35" i="4"/>
  <c r="CA34" i="4"/>
  <c r="CA33" i="4"/>
  <c r="CA32" i="4"/>
  <c r="CA31" i="4"/>
  <c r="CA30" i="4"/>
  <c r="CA29" i="4"/>
  <c r="CA28" i="4"/>
  <c r="CA27" i="4"/>
  <c r="CA26" i="4"/>
  <c r="CA25" i="4"/>
  <c r="CA24" i="4"/>
  <c r="CA23" i="4"/>
  <c r="CA22" i="4"/>
  <c r="CA21" i="4"/>
  <c r="CA20" i="4"/>
  <c r="CA19" i="4"/>
  <c r="CA18" i="4"/>
  <c r="CA17" i="4"/>
  <c r="CA16" i="4"/>
  <c r="CA15" i="4"/>
  <c r="CA14" i="4"/>
  <c r="CA13" i="4"/>
  <c r="CA12" i="4"/>
  <c r="CA11" i="4"/>
  <c r="CA10" i="4"/>
  <c r="CA9" i="4"/>
  <c r="CA8" i="4"/>
  <c r="CA7" i="4"/>
  <c r="CA6" i="4"/>
  <c r="CA5" i="4"/>
  <c r="CA4" i="4"/>
  <c r="BU39" i="4"/>
  <c r="BU38" i="4"/>
  <c r="BU37" i="4"/>
  <c r="BU36" i="4"/>
  <c r="BU35" i="4"/>
  <c r="BU34" i="4"/>
  <c r="BU33" i="4"/>
  <c r="BU32" i="4"/>
  <c r="BU31" i="4"/>
  <c r="BU30" i="4"/>
  <c r="BU29" i="4"/>
  <c r="BU28" i="4"/>
  <c r="BU27" i="4"/>
  <c r="BU26" i="4"/>
  <c r="BU25" i="4"/>
  <c r="BU24" i="4"/>
  <c r="BU23" i="4"/>
  <c r="BU22" i="4"/>
  <c r="BU21" i="4"/>
  <c r="BU20" i="4"/>
  <c r="BU19" i="4"/>
  <c r="BU17" i="4"/>
  <c r="BU16" i="4"/>
  <c r="BU15" i="4"/>
  <c r="BU14" i="4"/>
  <c r="BU13" i="4"/>
  <c r="BU12" i="4"/>
  <c r="BU11" i="4"/>
  <c r="BU10" i="4"/>
  <c r="BU9" i="4"/>
  <c r="BU8" i="4"/>
  <c r="BU7" i="4"/>
  <c r="BU6" i="4"/>
  <c r="BU5" i="4"/>
  <c r="BU4" i="4"/>
  <c r="BU3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7" i="4"/>
  <c r="BO15" i="4"/>
  <c r="BO14" i="4"/>
  <c r="BO13" i="4"/>
  <c r="BO12" i="4"/>
  <c r="BO11" i="4"/>
  <c r="BO10" i="4"/>
  <c r="BO9" i="4"/>
  <c r="BO8" i="4"/>
  <c r="BO7" i="4"/>
  <c r="BO6" i="4"/>
  <c r="BO5" i="4"/>
  <c r="BO4" i="4"/>
  <c r="BO3" i="4"/>
  <c r="F36" i="7"/>
  <c r="L41" i="6"/>
  <c r="O40" i="2" l="1"/>
  <c r="N40" i="2" s="1"/>
  <c r="K24" i="4"/>
  <c r="K23" i="4"/>
  <c r="K13" i="4"/>
  <c r="K17" i="4"/>
  <c r="K9" i="4"/>
  <c r="K8" i="4"/>
  <c r="J8" i="4" s="1"/>
  <c r="I8" i="4" s="1"/>
  <c r="K30" i="4"/>
  <c r="J30" i="4" s="1"/>
  <c r="I30" i="4" s="1"/>
  <c r="K21" i="4"/>
  <c r="J21" i="4" s="1"/>
  <c r="I21" i="4" s="1"/>
  <c r="K28" i="4"/>
  <c r="J28" i="4" s="1"/>
  <c r="I28" i="4" s="1"/>
  <c r="K35" i="4"/>
  <c r="J35" i="4" s="1"/>
  <c r="I35" i="4" s="1"/>
  <c r="K11" i="4"/>
  <c r="J11" i="4" s="1"/>
  <c r="I11" i="4" s="1"/>
  <c r="K22" i="4"/>
  <c r="J22" i="4" s="1"/>
  <c r="I22" i="4" s="1"/>
  <c r="J35" i="1"/>
  <c r="I35" i="1" s="1"/>
  <c r="J20" i="1"/>
  <c r="I20" i="1" s="1"/>
  <c r="J6" i="1"/>
  <c r="I6" i="1" s="1"/>
  <c r="J17" i="1"/>
  <c r="I17" i="1" s="1"/>
  <c r="J25" i="1"/>
  <c r="I25" i="1" s="1"/>
  <c r="J23" i="1"/>
  <c r="I23" i="1" s="1"/>
  <c r="J19" i="1"/>
  <c r="I19" i="1" s="1"/>
  <c r="J9" i="1"/>
  <c r="I9" i="1" s="1"/>
  <c r="J31" i="1"/>
  <c r="I31" i="1" s="1"/>
  <c r="J4" i="1"/>
  <c r="I4" i="1" s="1"/>
  <c r="J11" i="1"/>
  <c r="I11" i="1" s="1"/>
  <c r="J28" i="1"/>
  <c r="I28" i="1" s="1"/>
  <c r="J33" i="1"/>
  <c r="I33" i="1" s="1"/>
  <c r="J29" i="1"/>
  <c r="I29" i="1" s="1"/>
  <c r="J12" i="1"/>
  <c r="I12" i="1" s="1"/>
  <c r="J24" i="1"/>
  <c r="I24" i="1" s="1"/>
  <c r="J34" i="1"/>
  <c r="I34" i="1" s="1"/>
  <c r="J26" i="1"/>
  <c r="I26" i="1" s="1"/>
  <c r="J21" i="1"/>
  <c r="I21" i="1" s="1"/>
  <c r="J5" i="1"/>
  <c r="I5" i="1" s="1"/>
  <c r="J32" i="1"/>
  <c r="I32" i="1" s="1"/>
  <c r="J15" i="1"/>
  <c r="I15" i="1" s="1"/>
  <c r="J10" i="1"/>
  <c r="I10" i="1" s="1"/>
  <c r="J13" i="1"/>
  <c r="I13" i="1" s="1"/>
  <c r="J14" i="1"/>
  <c r="I14" i="1" s="1"/>
  <c r="J18" i="1"/>
  <c r="J22" i="1"/>
  <c r="I22" i="1" s="1"/>
  <c r="J7" i="1"/>
  <c r="I7" i="1" s="1"/>
  <c r="J27" i="1"/>
  <c r="I27" i="1" s="1"/>
  <c r="J8" i="1"/>
  <c r="I8" i="1" s="1"/>
  <c r="J16" i="1"/>
  <c r="I16" i="1" s="1"/>
  <c r="J30" i="1"/>
  <c r="I30" i="1" s="1"/>
  <c r="K36" i="4"/>
  <c r="J36" i="4" s="1"/>
  <c r="I36" i="4" s="1"/>
  <c r="N6" i="8"/>
  <c r="M6" i="8" s="1"/>
  <c r="L6" i="8" s="1"/>
  <c r="N17" i="8"/>
  <c r="M17" i="8" s="1"/>
  <c r="L17" i="8" s="1"/>
  <c r="N10" i="8"/>
  <c r="M10" i="8" s="1"/>
  <c r="L10" i="8" s="1"/>
  <c r="N23" i="8"/>
  <c r="M23" i="8" s="1"/>
  <c r="L23" i="8" s="1"/>
  <c r="N12" i="8"/>
  <c r="M12" i="8" s="1"/>
  <c r="L12" i="8" s="1"/>
  <c r="N14" i="8"/>
  <c r="M14" i="8" s="1"/>
  <c r="L14" i="8" s="1"/>
  <c r="N8" i="8"/>
  <c r="M8" i="8" s="1"/>
  <c r="L8" i="8" s="1"/>
  <c r="N20" i="8"/>
  <c r="M20" i="8" s="1"/>
  <c r="L20" i="8" s="1"/>
  <c r="N9" i="8"/>
  <c r="M9" i="8" s="1"/>
  <c r="L9" i="8" s="1"/>
  <c r="N22" i="8"/>
  <c r="M22" i="8" s="1"/>
  <c r="L22" i="8" s="1"/>
  <c r="N4" i="8"/>
  <c r="M4" i="8" s="1"/>
  <c r="L4" i="8" s="1"/>
  <c r="N13" i="8"/>
  <c r="M13" i="8" s="1"/>
  <c r="L13" i="8" s="1"/>
  <c r="N16" i="8"/>
  <c r="M16" i="8" s="1"/>
  <c r="L16" i="8" s="1"/>
  <c r="N26" i="8"/>
  <c r="M26" i="8" s="1"/>
  <c r="L26" i="8" s="1"/>
  <c r="N18" i="8"/>
  <c r="M18" i="8" s="1"/>
  <c r="L18" i="8" s="1"/>
  <c r="N21" i="8"/>
  <c r="M21" i="8" s="1"/>
  <c r="L21" i="8" s="1"/>
  <c r="N7" i="8"/>
  <c r="M7" i="8" s="1"/>
  <c r="L7" i="8" s="1"/>
  <c r="N11" i="8"/>
  <c r="M11" i="8" s="1"/>
  <c r="L11" i="8" s="1"/>
  <c r="N24" i="8"/>
  <c r="M24" i="8" s="1"/>
  <c r="L24" i="8" s="1"/>
  <c r="N5" i="8"/>
  <c r="M5" i="8" s="1"/>
  <c r="L5" i="8" s="1"/>
  <c r="N19" i="8"/>
  <c r="M19" i="8" s="1"/>
  <c r="L19" i="8" s="1"/>
  <c r="N25" i="8"/>
  <c r="M25" i="8" s="1"/>
  <c r="L25" i="8" s="1"/>
  <c r="N15" i="8"/>
  <c r="M15" i="8" s="1"/>
  <c r="L15" i="8" s="1"/>
  <c r="O41" i="2"/>
  <c r="O37" i="2"/>
  <c r="N37" i="2" s="1"/>
  <c r="L37" i="2" s="1"/>
  <c r="J17" i="4"/>
  <c r="I17" i="4" s="1"/>
  <c r="J24" i="4"/>
  <c r="I24" i="4" s="1"/>
  <c r="J23" i="4"/>
  <c r="I23" i="4" s="1"/>
  <c r="K20" i="4"/>
  <c r="J20" i="4" s="1"/>
  <c r="I20" i="4" s="1"/>
  <c r="J9" i="4"/>
  <c r="I9" i="4" s="1"/>
  <c r="O15" i="2"/>
  <c r="N15" i="2" s="1"/>
  <c r="L15" i="2" s="1"/>
  <c r="O26" i="2"/>
  <c r="N26" i="2" s="1"/>
  <c r="L26" i="2" s="1"/>
  <c r="O17" i="2"/>
  <c r="N17" i="2" s="1"/>
  <c r="L17" i="2" s="1"/>
  <c r="O31" i="2"/>
  <c r="N31" i="2" s="1"/>
  <c r="L31" i="2" s="1"/>
  <c r="O21" i="2"/>
  <c r="N21" i="2" s="1"/>
  <c r="L21" i="2" s="1"/>
  <c r="O23" i="2"/>
  <c r="N23" i="2" s="1"/>
  <c r="L23" i="2" s="1"/>
  <c r="O33" i="2"/>
  <c r="N33" i="2" s="1"/>
  <c r="L33" i="2" s="1"/>
  <c r="O24" i="2"/>
  <c r="N24" i="2" s="1"/>
  <c r="L24" i="2" s="1"/>
  <c r="O34" i="2"/>
  <c r="N34" i="2" s="1"/>
  <c r="L34" i="2" s="1"/>
  <c r="O9" i="2"/>
  <c r="N9" i="2" s="1"/>
  <c r="L9" i="2" s="1"/>
  <c r="O20" i="2"/>
  <c r="N20" i="2" s="1"/>
  <c r="O11" i="2"/>
  <c r="N11" i="2" s="1"/>
  <c r="L11" i="2" s="1"/>
  <c r="O4" i="2"/>
  <c r="N4" i="2" s="1"/>
  <c r="O5" i="2"/>
  <c r="N5" i="2" s="1"/>
  <c r="L5" i="2" s="1"/>
  <c r="O14" i="2"/>
  <c r="N14" i="2" s="1"/>
  <c r="L14" i="2" s="1"/>
  <c r="O22" i="2"/>
  <c r="N22" i="2" s="1"/>
  <c r="L22" i="2" s="1"/>
  <c r="O28" i="2"/>
  <c r="N28" i="2" s="1"/>
  <c r="L28" i="2" s="1"/>
  <c r="O8" i="2"/>
  <c r="N8" i="2" s="1"/>
  <c r="L8" i="2" s="1"/>
  <c r="O27" i="2"/>
  <c r="N27" i="2" s="1"/>
  <c r="L27" i="2" s="1"/>
  <c r="O36" i="2"/>
  <c r="N36" i="2" s="1"/>
  <c r="L36" i="2" s="1"/>
  <c r="O25" i="2"/>
  <c r="N25" i="2" s="1"/>
  <c r="L25" i="2" s="1"/>
  <c r="O39" i="2"/>
  <c r="N39" i="2" s="1"/>
  <c r="L39" i="2" s="1"/>
  <c r="O18" i="2"/>
  <c r="N18" i="2" s="1"/>
  <c r="L18" i="2" s="1"/>
  <c r="O30" i="2"/>
  <c r="N30" i="2" s="1"/>
  <c r="L30" i="2" s="1"/>
  <c r="O35" i="2"/>
  <c r="N35" i="2" s="1"/>
  <c r="O16" i="2"/>
  <c r="N16" i="2" s="1"/>
  <c r="L16" i="2" s="1"/>
  <c r="O7" i="2"/>
  <c r="N7" i="2" s="1"/>
  <c r="L7" i="2" s="1"/>
  <c r="O19" i="2"/>
  <c r="N19" i="2" s="1"/>
  <c r="O38" i="2"/>
  <c r="N38" i="2" s="1"/>
  <c r="L38" i="2" s="1"/>
  <c r="O10" i="2"/>
  <c r="N10" i="2" s="1"/>
  <c r="L10" i="2" s="1"/>
  <c r="O29" i="2"/>
  <c r="N29" i="2" s="1"/>
  <c r="L29" i="2" s="1"/>
  <c r="O13" i="2"/>
  <c r="N13" i="2" s="1"/>
  <c r="L13" i="2" s="1"/>
  <c r="O32" i="2"/>
  <c r="N32" i="2" s="1"/>
  <c r="L32" i="2" s="1"/>
  <c r="O6" i="2"/>
  <c r="N6" i="2" s="1"/>
  <c r="L6" i="2" s="1"/>
  <c r="K5" i="4"/>
  <c r="J5" i="4" s="1"/>
  <c r="I5" i="4" s="1"/>
  <c r="K14" i="4"/>
  <c r="J14" i="4" s="1"/>
  <c r="I14" i="4" s="1"/>
  <c r="K31" i="4"/>
  <c r="J31" i="4" s="1"/>
  <c r="I31" i="4" s="1"/>
  <c r="K18" i="4"/>
  <c r="J18" i="4" s="1"/>
  <c r="I18" i="4" s="1"/>
  <c r="K4" i="4"/>
  <c r="J4" i="4" s="1"/>
  <c r="I4" i="4" s="1"/>
  <c r="K19" i="4"/>
  <c r="J19" i="4" s="1"/>
  <c r="I19" i="4" s="1"/>
  <c r="K33" i="4"/>
  <c r="J33" i="4" s="1"/>
  <c r="I33" i="4" s="1"/>
  <c r="K34" i="4"/>
  <c r="J34" i="4" s="1"/>
  <c r="I34" i="4" s="1"/>
  <c r="K37" i="4"/>
  <c r="J37" i="4" s="1"/>
  <c r="I37" i="4" s="1"/>
  <c r="K7" i="4"/>
  <c r="J7" i="4" s="1"/>
  <c r="I7" i="4" s="1"/>
  <c r="K39" i="4"/>
  <c r="J39" i="4" s="1"/>
  <c r="I39" i="4" s="1"/>
  <c r="K12" i="4"/>
  <c r="J12" i="4" s="1"/>
  <c r="I12" i="4" s="1"/>
  <c r="K6" i="4"/>
  <c r="J6" i="4" s="1"/>
  <c r="I6" i="4" s="1"/>
  <c r="K40" i="4"/>
  <c r="J40" i="4" s="1"/>
  <c r="I40" i="4" s="1"/>
  <c r="K32" i="4"/>
  <c r="J32" i="4" s="1"/>
  <c r="I32" i="4" s="1"/>
  <c r="K3" i="4"/>
  <c r="J3" i="4" s="1"/>
  <c r="K26" i="4"/>
  <c r="J26" i="4" s="1"/>
  <c r="I26" i="4" s="1"/>
  <c r="K38" i="4"/>
  <c r="J38" i="4" s="1"/>
  <c r="I38" i="4" s="1"/>
  <c r="K27" i="4"/>
  <c r="J27" i="4" s="1"/>
  <c r="I27" i="4" s="1"/>
  <c r="K29" i="4"/>
  <c r="J29" i="4" s="1"/>
  <c r="I29" i="4" s="1"/>
  <c r="K10" i="4"/>
  <c r="J10" i="4" s="1"/>
  <c r="I10" i="4" s="1"/>
  <c r="K25" i="4"/>
  <c r="J25" i="4" s="1"/>
  <c r="I25" i="4" s="1"/>
  <c r="K16" i="4"/>
  <c r="J16" i="4" s="1"/>
  <c r="I16" i="4" s="1"/>
  <c r="K15" i="4"/>
  <c r="J15" i="4" s="1"/>
  <c r="I15" i="4" s="1"/>
  <c r="J13" i="4"/>
  <c r="I13" i="4" s="1"/>
  <c r="N41" i="2" l="1"/>
  <c r="L41" i="2" s="1"/>
</calcChain>
</file>

<file path=xl/sharedStrings.xml><?xml version="1.0" encoding="utf-8"?>
<sst xmlns="http://schemas.openxmlformats.org/spreadsheetml/2006/main" count="1449" uniqueCount="781">
  <si>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</si>
  <si>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</si>
  <si>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</si>
  <si>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</si>
  <si>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</si>
  <si>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</si>
  <si>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</si>
  <si>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</si>
  <si>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</si>
  <si>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</si>
  <si>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 xml:space="preserve">26141228  </t>
  </si>
  <si>
    <t>ALEGRÍA SÁNCHEZ JOSELIN</t>
  </si>
  <si>
    <t xml:space="preserve">26141213  </t>
  </si>
  <si>
    <t>ARENAS DE LA ROSA AMAURY JAFET</t>
  </si>
  <si>
    <t xml:space="preserve">26141186  </t>
  </si>
  <si>
    <t>BARCENAS JIMENEZ JOSE IVAN</t>
  </si>
  <si>
    <t xml:space="preserve">26141721  </t>
  </si>
  <si>
    <t>CADENA IGLESIAS ALONSO</t>
  </si>
  <si>
    <t xml:space="preserve">26141201  </t>
  </si>
  <si>
    <t>CRUZ BALTAZAR GUILLERMO JESUS</t>
  </si>
  <si>
    <t xml:space="preserve">26141165  </t>
  </si>
  <si>
    <t>DIAZ VALDEZ MARISOL</t>
  </si>
  <si>
    <t xml:space="preserve">26141162  </t>
  </si>
  <si>
    <t>ESTRADA JUAREZ ANDREA</t>
  </si>
  <si>
    <t xml:space="preserve">26141171  </t>
  </si>
  <si>
    <t>FERRUSCA RODRÍGUEZ MARÍA EMILIA</t>
  </si>
  <si>
    <t xml:space="preserve">26141195  </t>
  </si>
  <si>
    <t>FRAGA MORALES JESSICA</t>
  </si>
  <si>
    <t xml:space="preserve">26141210  </t>
  </si>
  <si>
    <t>GARCIA URIBE ALAN DANIEL</t>
  </si>
  <si>
    <t xml:space="preserve">26141217  </t>
  </si>
  <si>
    <t>GARCÍA MEJÍA JOCELYN VALERIA</t>
  </si>
  <si>
    <t xml:space="preserve">26141180  </t>
  </si>
  <si>
    <t>GODOY GUILLÉN XIMENA</t>
  </si>
  <si>
    <t xml:space="preserve">26141216  </t>
  </si>
  <si>
    <t>HERNANDEZ CRUZ PAUL MATEO</t>
  </si>
  <si>
    <t xml:space="preserve">26141204  </t>
  </si>
  <si>
    <t>HERNÁNDEZ HERNÁNDEZ CAMILA</t>
  </si>
  <si>
    <t xml:space="preserve">26141192  </t>
  </si>
  <si>
    <t>HERNÁNDEZ MÁRQUEZ JESÚS JHONY</t>
  </si>
  <si>
    <t xml:space="preserve">26141168  </t>
  </si>
  <si>
    <t>LEDESMA HERRERA DULCE MARIANA</t>
  </si>
  <si>
    <t xml:space="preserve">26141189  </t>
  </si>
  <si>
    <t>LUNA LUNA JUAN JOSÉ</t>
  </si>
  <si>
    <t xml:space="preserve">26141711  </t>
  </si>
  <si>
    <t>MALDONADO LEDESMA PAOLA</t>
  </si>
  <si>
    <t xml:space="preserve">26141715  </t>
  </si>
  <si>
    <t>MONTES MARTINEZ RICARDO</t>
  </si>
  <si>
    <t xml:space="preserve">26141174  </t>
  </si>
  <si>
    <t>PALACIOS RIVERA MELANIE VALERIA</t>
  </si>
  <si>
    <t xml:space="preserve">26141718  </t>
  </si>
  <si>
    <t>PAREDES MORENO CÉSAR JACOB</t>
  </si>
  <si>
    <t xml:space="preserve">26141222  </t>
  </si>
  <si>
    <t>PEREZ GUERRERO CITLALI</t>
  </si>
  <si>
    <t xml:space="preserve">26141183  </t>
  </si>
  <si>
    <t>PEREZ TINAJERO JESSICA ALEJANDRA</t>
  </si>
  <si>
    <t xml:space="preserve">26141225  </t>
  </si>
  <si>
    <t>RAMÍREZ FLORES VANESSA</t>
  </si>
  <si>
    <t xml:space="preserve">26141207  </t>
  </si>
  <si>
    <t>RODRIGUEZ MONTES ITZEL LOURDES</t>
  </si>
  <si>
    <t xml:space="preserve">26141198  </t>
  </si>
  <si>
    <t>SALINAS GUDIÑO CHRISTOPHER DAVID</t>
  </si>
  <si>
    <t xml:space="preserve">26141156  </t>
  </si>
  <si>
    <t>SUAREZ SORIA JUAN ADRIEL</t>
  </si>
  <si>
    <t xml:space="preserve">26141177  </t>
  </si>
  <si>
    <t>SÁNCHEZ JIMÉNEZ OSWALDO</t>
  </si>
  <si>
    <t xml:space="preserve">26141138  </t>
  </si>
  <si>
    <t>TEODOSIO JIMENEZ ROXANA</t>
  </si>
  <si>
    <t xml:space="preserve">26141159  </t>
  </si>
  <si>
    <t>TREJO RODRÍGUEZ CAROL MELISSA</t>
  </si>
  <si>
    <t xml:space="preserve">26141219  </t>
  </si>
  <si>
    <t>VARGAS SUAREZ RODRIGO</t>
  </si>
  <si>
    <t>IND</t>
  </si>
  <si>
    <t>YAÑEZ MONTERO SIMON</t>
  </si>
  <si>
    <t xml:space="preserve">26140707  </t>
  </si>
  <si>
    <t>YAÑEZ MALDONADO FRANCISCO DE JESÚS</t>
  </si>
  <si>
    <t xml:space="preserve">26140677  </t>
  </si>
  <si>
    <t>VENTURA PEREZ ABIGAIL</t>
  </si>
  <si>
    <t xml:space="preserve">26140772  </t>
  </si>
  <si>
    <t>TOLEDANO FLORES HELENA</t>
  </si>
  <si>
    <t xml:space="preserve">26140697  </t>
  </si>
  <si>
    <t>SOLÍS DURÁN CÉSAR</t>
  </si>
  <si>
    <t xml:space="preserve">26140657  </t>
  </si>
  <si>
    <t>SANCHEZ SANCHEZ EMILIO</t>
  </si>
  <si>
    <t xml:space="preserve">26141655  </t>
  </si>
  <si>
    <t>ROSAS HERNÁNDEZ FRANCISCO</t>
  </si>
  <si>
    <t xml:space="preserve">26140667  </t>
  </si>
  <si>
    <t>RODRÍGUEZ IBARRA ÁNGEL</t>
  </si>
  <si>
    <t xml:space="preserve">26140722  </t>
  </si>
  <si>
    <t>RIVERA PUGA AXEL JAVAN</t>
  </si>
  <si>
    <t xml:space="preserve">26140627  </t>
  </si>
  <si>
    <t>RANGEL SERVIN BETSAIDA</t>
  </si>
  <si>
    <t xml:space="preserve">26140737  </t>
  </si>
  <si>
    <t>RAMIREZ ORTIZ MARIA DE LOS ANGELES</t>
  </si>
  <si>
    <t xml:space="preserve">26141650  </t>
  </si>
  <si>
    <t>RAMIREZ DE DIOS MONSERRAT ALEJANDRA</t>
  </si>
  <si>
    <t xml:space="preserve">26141670  </t>
  </si>
  <si>
    <t>PEÑATE SÁNCHEZ JULISSA</t>
  </si>
  <si>
    <t xml:space="preserve">26140777  </t>
  </si>
  <si>
    <t>ORTIZ BAUTISTA JESUS</t>
  </si>
  <si>
    <t xml:space="preserve">26140692  </t>
  </si>
  <si>
    <t>OLVERA CAMACHO JOSE LEONARDO</t>
  </si>
  <si>
    <t xml:space="preserve">26140687  </t>
  </si>
  <si>
    <t>MENDOZA PALACIOS DIEGO</t>
  </si>
  <si>
    <t xml:space="preserve">26140782  </t>
  </si>
  <si>
    <t>MENA PEREZ KENYA NATALLY</t>
  </si>
  <si>
    <t xml:space="preserve">26140767  </t>
  </si>
  <si>
    <t>MEDINA ALVAREZ ANA ISABEL</t>
  </si>
  <si>
    <t xml:space="preserve">26140757  </t>
  </si>
  <si>
    <t>MARTINEZ RESENDIZ JOSE ALEJANDRO</t>
  </si>
  <si>
    <t xml:space="preserve">26140712  </t>
  </si>
  <si>
    <t>LÓPEZ URIBE JOSÉ MANUEL</t>
  </si>
  <si>
    <t xml:space="preserve">26140637  </t>
  </si>
  <si>
    <t>LUNA VELAZQUEZ ITZEL VALERIA</t>
  </si>
  <si>
    <t xml:space="preserve">26140682  </t>
  </si>
  <si>
    <t>LUNA LUNA DIANA MAYTE</t>
  </si>
  <si>
    <t xml:space="preserve">26140702  </t>
  </si>
  <si>
    <t>LOPEZ GONZALEZ CHRISTIAN DANIEL</t>
  </si>
  <si>
    <t xml:space="preserve">26140717  </t>
  </si>
  <si>
    <t>LOPEZ ESCOBEDO GERARDO</t>
  </si>
  <si>
    <t xml:space="preserve">26140732  </t>
  </si>
  <si>
    <t>JIMÉNEZ SIMENTAL CRISTIAN</t>
  </si>
  <si>
    <t xml:space="preserve">26140672  </t>
  </si>
  <si>
    <t>HERNÁNDEZ MENDONCA YHEYRIMAR STEFANY</t>
  </si>
  <si>
    <t xml:space="preserve">26141665  </t>
  </si>
  <si>
    <t>HERNANDEZ OSORNIO LEONARDO</t>
  </si>
  <si>
    <t xml:space="preserve">26140647  </t>
  </si>
  <si>
    <t>GONZALEZ TREJO SERGIO YAREL</t>
  </si>
  <si>
    <t xml:space="preserve">26140632  </t>
  </si>
  <si>
    <t>GARCIA GARCIA DIEGO MOISES</t>
  </si>
  <si>
    <t xml:space="preserve">26140742  </t>
  </si>
  <si>
    <t>FEREGRINO LÓPEZ WENDY MELANY</t>
  </si>
  <si>
    <t xml:space="preserve">26141660  </t>
  </si>
  <si>
    <t>ESTRADA LEÓN EDUARDO DANIEL</t>
  </si>
  <si>
    <t xml:space="preserve">26140642  </t>
  </si>
  <si>
    <t>DUARTE NORBERTO ALISON JOCELYN</t>
  </si>
  <si>
    <t xml:space="preserve">26140762  </t>
  </si>
  <si>
    <t>DE JESÚS LEÓN EVELYN JOCELYN</t>
  </si>
  <si>
    <t xml:space="preserve">26140652  </t>
  </si>
  <si>
    <t>CRUZ LEON BERNARDO GAEL</t>
  </si>
  <si>
    <t xml:space="preserve">26140662  </t>
  </si>
  <si>
    <t>CAMACHO ROBLES ATALIA</t>
  </si>
  <si>
    <t xml:space="preserve">26140727  </t>
  </si>
  <si>
    <t>AVILA REGALADO HELEN</t>
  </si>
  <si>
    <t xml:space="preserve">26140747  </t>
  </si>
  <si>
    <t>ATANACIO MARTÍNEZ CRISTIAN URIEL</t>
  </si>
  <si>
    <t xml:space="preserve">26140752  </t>
  </si>
  <si>
    <t>VEGA FERRUSCA DIEGO EFREN</t>
  </si>
  <si>
    <t xml:space="preserve">26140150  </t>
  </si>
  <si>
    <t>TREJO RODRIGUEZ BRIAN GUSTAVO</t>
  </si>
  <si>
    <t xml:space="preserve">26140148  </t>
  </si>
  <si>
    <t>IGE</t>
  </si>
  <si>
    <t>SOTO JAIMES CRISTOPHER ASAEL</t>
  </si>
  <si>
    <t xml:space="preserve">25320852  </t>
  </si>
  <si>
    <t>ISC</t>
  </si>
  <si>
    <t>ROSALES ALDANA VALERIA AMELI</t>
  </si>
  <si>
    <t xml:space="preserve">25140866  </t>
  </si>
  <si>
    <t>ROSALES AGUILAR DIEGO ALONSO</t>
  </si>
  <si>
    <t xml:space="preserve">26140144  </t>
  </si>
  <si>
    <t>RODRÍGUEZ MÁRQUEZ DANIEL</t>
  </si>
  <si>
    <t xml:space="preserve">26140230  </t>
  </si>
  <si>
    <t>ELO</t>
  </si>
  <si>
    <t>RAMÍREZ SALINAS JUAN</t>
  </si>
  <si>
    <t xml:space="preserve">25141129  </t>
  </si>
  <si>
    <t>PANTOJA CRISTALES SOFÍA</t>
  </si>
  <si>
    <t xml:space="preserve">26140103  </t>
  </si>
  <si>
    <t>MORALES MARTÍNEZ DIEGO</t>
  </si>
  <si>
    <t xml:space="preserve">25140836  </t>
  </si>
  <si>
    <t>MEC</t>
  </si>
  <si>
    <t>MICHAUS MORENO MIGUEL ALEXANDER</t>
  </si>
  <si>
    <t xml:space="preserve">25140938  </t>
  </si>
  <si>
    <t>ICD</t>
  </si>
  <si>
    <t>MATEHUALA TOVAR ALAN LEONARDO</t>
  </si>
  <si>
    <t xml:space="preserve">C23140727 </t>
  </si>
  <si>
    <t>MARTINEZ DAVILA ALEXANDER</t>
  </si>
  <si>
    <t xml:space="preserve">C25140683 </t>
  </si>
  <si>
    <t>LAZARO RODRIGUEZ VICTOR RAFAEL</t>
  </si>
  <si>
    <t xml:space="preserve">26140130  </t>
  </si>
  <si>
    <t>HERNÁNDEZ LÓPEZ SOFÍA</t>
  </si>
  <si>
    <t xml:space="preserve">26140264  </t>
  </si>
  <si>
    <t>HERNANDEZ TOVAR YOSELIN</t>
  </si>
  <si>
    <t xml:space="preserve">25141035  </t>
  </si>
  <si>
    <t>HERNANDEZ PERALES JOSUE GERARDO</t>
  </si>
  <si>
    <t xml:space="preserve">C25140593 </t>
  </si>
  <si>
    <t>HERNANDEZ GASPAR FERNANDO TONATIHU</t>
  </si>
  <si>
    <t xml:space="preserve">26140124  </t>
  </si>
  <si>
    <t>HERNANDEZ GARCIA DAVID</t>
  </si>
  <si>
    <t xml:space="preserve">25141111  </t>
  </si>
  <si>
    <t>ELE</t>
  </si>
  <si>
    <t>GRANDE HERNÁNDEZ ANGEL DANIEL</t>
  </si>
  <si>
    <t xml:space="preserve">26140068  </t>
  </si>
  <si>
    <t>GONZALEZ MORALES MARCO ANTONIO</t>
  </si>
  <si>
    <t>E</t>
  </si>
  <si>
    <t xml:space="preserve">24140719  </t>
  </si>
  <si>
    <t>GARCÍA RAMÍREZ BRIAN ARMANDO</t>
  </si>
  <si>
    <t xml:space="preserve">26140163  </t>
  </si>
  <si>
    <t>FRIAS TREJO SEBASTIÁN ALONSO</t>
  </si>
  <si>
    <t xml:space="preserve">26140118  </t>
  </si>
  <si>
    <t>ESPINOZA ESPINOZA MARIA CELESTE</t>
  </si>
  <si>
    <t xml:space="preserve">26140116  </t>
  </si>
  <si>
    <t>CÓRDOVA PADILLA JOSÉ ADRIAN</t>
  </si>
  <si>
    <t xml:space="preserve">26140157  </t>
  </si>
  <si>
    <t>CRUZ MARTINEZ ALEJANDRO</t>
  </si>
  <si>
    <t xml:space="preserve">26140205  </t>
  </si>
  <si>
    <t>CRUZ JIMÉNEZ SEBASTIÁN</t>
  </si>
  <si>
    <t xml:space="preserve">26140158  </t>
  </si>
  <si>
    <t>CRUZ GONZÁLEZ ERICK</t>
  </si>
  <si>
    <t xml:space="preserve">26140240  </t>
  </si>
  <si>
    <t>CORONA GONZALEZ YATZIL MONSERRAT</t>
  </si>
  <si>
    <t xml:space="preserve">26140112  </t>
  </si>
  <si>
    <t>CASILLAS MEJIA CARLOS DANIEL</t>
  </si>
  <si>
    <t xml:space="preserve">26140091  </t>
  </si>
  <si>
    <t>BUSTOS HERNÁNDEZ EMILIANO GERMAN</t>
  </si>
  <si>
    <t xml:space="preserve">26140110  </t>
  </si>
  <si>
    <t>BREÑA MARTINEZ PABLO ENRIQUE</t>
  </si>
  <si>
    <t xml:space="preserve">26140090  </t>
  </si>
  <si>
    <t>BARCENAS JASSO YOALLI  DANAE</t>
  </si>
  <si>
    <t xml:space="preserve">26140256  </t>
  </si>
  <si>
    <t>BARBOSA BARRIOS EMILIANO</t>
  </si>
  <si>
    <t xml:space="preserve">25140542  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</si>
  <si>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</si>
  <si>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</si>
  <si>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</si>
  <si>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ZÚÑIGA GÓMEZ MIGUEL ÁNGEL</t>
  </si>
  <si>
    <t xml:space="preserve">26140857  </t>
  </si>
  <si>
    <t>VILLEGAS RICO MATEO</t>
  </si>
  <si>
    <t xml:space="preserve">26140877  </t>
  </si>
  <si>
    <t>VARGAS GÜENDULAIN IKER EDEL</t>
  </si>
  <si>
    <t xml:space="preserve">26140880  </t>
  </si>
  <si>
    <t>TADEO SANTOS CÉSAR GAEL</t>
  </si>
  <si>
    <t xml:space="preserve">26140881  </t>
  </si>
  <si>
    <t>SÁNCHEZ TREVIÑO ALEJANDRO</t>
  </si>
  <si>
    <t xml:space="preserve">26140817  </t>
  </si>
  <si>
    <t>SECUNDINO CONTADOR SARA</t>
  </si>
  <si>
    <t xml:space="preserve">26140907  </t>
  </si>
  <si>
    <t>SANCHEZ BASILIO ANGEL JOAN</t>
  </si>
  <si>
    <t xml:space="preserve">26140849  </t>
  </si>
  <si>
    <t>RUIZ BALDERAS IAN FERNANDO</t>
  </si>
  <si>
    <t xml:space="preserve">26141679  </t>
  </si>
  <si>
    <t>RESÉNDIZ CONTRERAS JOEL GAMALIEL</t>
  </si>
  <si>
    <t xml:space="preserve">26140829  </t>
  </si>
  <si>
    <t>RAMÍREZ DURAN MARCOS EUGENIO</t>
  </si>
  <si>
    <t xml:space="preserve">26140785  </t>
  </si>
  <si>
    <t>PALACIOS PALACIOS IAN LEONARDO</t>
  </si>
  <si>
    <t xml:space="preserve">26141673  </t>
  </si>
  <si>
    <t>MONTES LÓPEZ MIGUEL ALBERTO</t>
  </si>
  <si>
    <t xml:space="preserve">26140853  </t>
  </si>
  <si>
    <t>MARTINEZ CHACON DAVID ALBERTO</t>
  </si>
  <si>
    <t xml:space="preserve">26140793  </t>
  </si>
  <si>
    <t>MALDONADO MALAGON PAOLA MICHELLE</t>
  </si>
  <si>
    <t xml:space="preserve">26141680  </t>
  </si>
  <si>
    <t>LÓPEZ SERRANO RODRIGO</t>
  </si>
  <si>
    <t xml:space="preserve">26140809  </t>
  </si>
  <si>
    <t>LÓPEZ PÉREZ RAZIEL</t>
  </si>
  <si>
    <t xml:space="preserve">26140865  </t>
  </si>
  <si>
    <t>LOPEZ LEON LANDER YAEL</t>
  </si>
  <si>
    <t xml:space="preserve">26140897  </t>
  </si>
  <si>
    <t>JIMÉNEZ OLMOS ANGELA</t>
  </si>
  <si>
    <t xml:space="preserve">26140901  </t>
  </si>
  <si>
    <t>HERNÁNDEZ  LEONARDO ALEXANDER</t>
  </si>
  <si>
    <t xml:space="preserve">26140833  </t>
  </si>
  <si>
    <t>GÒMEZ HERNÀNDEZ ALEJANDRO</t>
  </si>
  <si>
    <t xml:space="preserve">26140789  </t>
  </si>
  <si>
    <t>GUTIÉRREZ AGAPITO NADIA</t>
  </si>
  <si>
    <t xml:space="preserve">26140841  </t>
  </si>
  <si>
    <t>GONZÁLEZ HERRERA EMILIO ALEJANDRO</t>
  </si>
  <si>
    <t xml:space="preserve">26141428  </t>
  </si>
  <si>
    <t>GONZÁLEZ BARRIENTOS JOSÉ ANTONIO</t>
  </si>
  <si>
    <t xml:space="preserve">26140873  </t>
  </si>
  <si>
    <t>ESTRADA GARCÍA ALEXA VALERIA</t>
  </si>
  <si>
    <t xml:space="preserve">26140837  </t>
  </si>
  <si>
    <t>ELVIRA JUAREZ ALDO</t>
  </si>
  <si>
    <t xml:space="preserve">26140893  </t>
  </si>
  <si>
    <t>DOMINGUEZ CRUZ CRISTIAN EDUARDO</t>
  </si>
  <si>
    <t xml:space="preserve">26140845  </t>
  </si>
  <si>
    <t>DE SANTIAGO PEREZ ANGEL MIGUEL</t>
  </si>
  <si>
    <t xml:space="preserve">26140805  </t>
  </si>
  <si>
    <t>DE JESÚS MENDOZA EUGENIO ABED</t>
  </si>
  <si>
    <t xml:space="preserve">26140869  </t>
  </si>
  <si>
    <t>CORDOVA MARTINEZ RICARDO</t>
  </si>
  <si>
    <t xml:space="preserve">26140821  </t>
  </si>
  <si>
    <t>CHÁVEZ PÉREZ EMILIANO</t>
  </si>
  <si>
    <t xml:space="preserve">26140861  </t>
  </si>
  <si>
    <t>CHAVERO CHAIRE RENATO</t>
  </si>
  <si>
    <t xml:space="preserve">26140801  </t>
  </si>
  <si>
    <t>BARRIOS RAMIREZ SERGIO</t>
  </si>
  <si>
    <t xml:space="preserve">26140917  </t>
  </si>
  <si>
    <t>BARBOSA RODRIGUEZ ABRAHAM ALEJANDRO</t>
  </si>
  <si>
    <t xml:space="preserve">26140813  </t>
  </si>
  <si>
    <t>BADILLO OLVERA DIEGO ADRIAN</t>
  </si>
  <si>
    <t xml:space="preserve">26140889  </t>
  </si>
  <si>
    <t>ALVAREZ ALVAREZ JAVIER</t>
  </si>
  <si>
    <t xml:space="preserve">26140797  </t>
  </si>
  <si>
    <t>ALONSO MÉNDEZ SANTIAGO</t>
  </si>
  <si>
    <t xml:space="preserve">26140909  </t>
  </si>
  <si>
    <t>ABARCA ADAMS CARLOS GAEL</t>
  </si>
  <si>
    <t xml:space="preserve">26140825  </t>
  </si>
  <si>
    <t>isaac300.seguraayala@gmail.com</t>
  </si>
  <si>
    <t>l26140923@queretaro.tecnm.mx</t>
  </si>
  <si>
    <t>SEGURA AYALA ANGEL ISAAC</t>
  </si>
  <si>
    <t xml:space="preserve">26140923  </t>
  </si>
  <si>
    <t>sanchezsuarezcristhiano@gmail.com</t>
  </si>
  <si>
    <t>l26140979@queretaro.tecnm.mx</t>
  </si>
  <si>
    <t>SANCHÉZ SUARÉZ CRISTIAN</t>
  </si>
  <si>
    <t xml:space="preserve">26140979  </t>
  </si>
  <si>
    <t>sbracamontes037@gmail.com</t>
  </si>
  <si>
    <t>l26141035@queretaro.tecnm.mx</t>
  </si>
  <si>
    <t>RUÍZ BRACAMONTES SANTIAGO JAVIER</t>
  </si>
  <si>
    <t xml:space="preserve">26141035  </t>
  </si>
  <si>
    <t>oscar.rosalesislas@gmail.com</t>
  </si>
  <si>
    <t>l26140987@queretaro.tecnm.mx</t>
  </si>
  <si>
    <t>ROSALES ISLAS OSCAR</t>
  </si>
  <si>
    <t xml:space="preserve">26140987  </t>
  </si>
  <si>
    <t>zandresrg98@gmail.com</t>
  </si>
  <si>
    <t>l26141690@queretaro.tecnm.mx</t>
  </si>
  <si>
    <t>RODRIGUEZ GUILLEN ANDRES</t>
  </si>
  <si>
    <t xml:space="preserve">26141690  </t>
  </si>
  <si>
    <t>eloisa.reyes.mun@gmail.com</t>
  </si>
  <si>
    <t>l26140983@queretaro.tecnm.mx</t>
  </si>
  <si>
    <t>REYES MUÑOZ ELOISA</t>
  </si>
  <si>
    <t xml:space="preserve">26140983  </t>
  </si>
  <si>
    <t>resendiz.perez.aldo1@gmail.com</t>
  </si>
  <si>
    <t>l26141007@queretaro.tecnm.mx</t>
  </si>
  <si>
    <t>RESENDIZ PEREZ ALDO</t>
  </si>
  <si>
    <t xml:space="preserve">26141007  </t>
  </si>
  <si>
    <t>alexpadillacastillo@gmail.com</t>
  </si>
  <si>
    <t>l26141043@queretaro.tecnm.mx</t>
  </si>
  <si>
    <t>PADILLA CASTILLO ALEJANDRO</t>
  </si>
  <si>
    <t xml:space="preserve">26141043  </t>
  </si>
  <si>
    <t>g462931@gmail.com</t>
  </si>
  <si>
    <t>l26140931@queretaro.tecnm.mx</t>
  </si>
  <si>
    <t>PACHECO NOGUEZ DIEGO ALEJANDRO</t>
  </si>
  <si>
    <t xml:space="preserve">26140931  </t>
  </si>
  <si>
    <t>isaa.zjj@gmail.com</t>
  </si>
  <si>
    <t>l26141051@queretaro.tecnm.mx</t>
  </si>
  <si>
    <t>OLVERA ALARCÓN ISABEL</t>
  </si>
  <si>
    <t xml:space="preserve">26141051  </t>
  </si>
  <si>
    <t>jacquemoralesarreguin@gmail.com</t>
  </si>
  <si>
    <t>l26140963@queretaro.tecnm.mx</t>
  </si>
  <si>
    <t>MORALES ARREGUIN JACQUELINE</t>
  </si>
  <si>
    <t xml:space="preserve">26140963  </t>
  </si>
  <si>
    <t>leomirandajacques@gmail.com</t>
  </si>
  <si>
    <t>l26141003@queretaro.tecnm.mx</t>
  </si>
  <si>
    <t>MIRANDA JACQUES LEONARDO</t>
  </si>
  <si>
    <t xml:space="preserve">26141003  </t>
  </si>
  <si>
    <t>luisvmedranoluna@gmail.com</t>
  </si>
  <si>
    <t>l26140951@queretaro.tecnm.mx</t>
  </si>
  <si>
    <t>MEDRANO DE LUNA LUIS VLADIMIR</t>
  </si>
  <si>
    <t xml:space="preserve">26140951  </t>
  </si>
  <si>
    <t>zaidmatehuala01@gmail.com</t>
  </si>
  <si>
    <t>l26141694@queretaro.tecnm.mx</t>
  </si>
  <si>
    <t>MATEHUALA TOVAR ZAID</t>
  </si>
  <si>
    <t xml:space="preserve">26141694  </t>
  </si>
  <si>
    <t>arimarbar23@gmail.com</t>
  </si>
  <si>
    <t>l26141023@queretaro.tecnm.mx</t>
  </si>
  <si>
    <t>MARTINEZ BARRERA ARIANA</t>
  </si>
  <si>
    <t xml:space="preserve">26141023  </t>
  </si>
  <si>
    <t>aethelhz@proton.me</t>
  </si>
  <si>
    <t>l26141682@queretaro.tecnm.mx</t>
  </si>
  <si>
    <t>LOPEZ PEREZ OMAR HAZIEL</t>
  </si>
  <si>
    <t xml:space="preserve">26141682  </t>
  </si>
  <si>
    <t>lopezgaelarturo@gmail.com</t>
  </si>
  <si>
    <t>l26141027@queretaro.tecnm.mx</t>
  </si>
  <si>
    <t>LOPEZ HERNANDEZ GAEL ARTURO</t>
  </si>
  <si>
    <t xml:space="preserve">26141027  </t>
  </si>
  <si>
    <t>giovannilicea70@gmail.com</t>
  </si>
  <si>
    <t>l26140927@queretaro.tecnm.mx</t>
  </si>
  <si>
    <t>LICEA JUAREZ GIOVANNI</t>
  </si>
  <si>
    <t xml:space="preserve">26140927  </t>
  </si>
  <si>
    <t>luis2008jimeluga@gmail.com</t>
  </si>
  <si>
    <t>l26141019@queretaro.tecnm.mx</t>
  </si>
  <si>
    <t>JIMÉNEZ LUGARDO JUAN LUIS</t>
  </si>
  <si>
    <t xml:space="preserve">26141019  </t>
  </si>
  <si>
    <t>asher17hernandez06@gmail.com</t>
  </si>
  <si>
    <t>l26140943@queretaro.tecnm.mx</t>
  </si>
  <si>
    <t>HERNÁNDEZ PEÑA ASHER ALEJANDRO</t>
  </si>
  <si>
    <t xml:space="preserve">26140943  </t>
  </si>
  <si>
    <t>1a.hernandez.angelzuriel@gmail.com</t>
  </si>
  <si>
    <t>l26140971@queretaro.tecnm.mx</t>
  </si>
  <si>
    <t>HERNANDEZ RESENDIZ ANGEL ZURIEL</t>
  </si>
  <si>
    <t xml:space="preserve">26140971  </t>
  </si>
  <si>
    <t>minyugyeom143@gmail.com</t>
  </si>
  <si>
    <t>l26140975@queretaro.tecnm.mx</t>
  </si>
  <si>
    <t>HERNANDEZ MEJIA DEANY ALEXANDRA</t>
  </si>
  <si>
    <t xml:space="preserve">26140975  </t>
  </si>
  <si>
    <t>sofiahernandezisassi@gmail.com</t>
  </si>
  <si>
    <t>l26141039@queretaro.tecnm.mx</t>
  </si>
  <si>
    <t>HERNANDEZ ISASSI SOFIA</t>
  </si>
  <si>
    <t xml:space="preserve">26141039  </t>
  </si>
  <si>
    <t>hernandezestradapaloma5@gmail.com</t>
  </si>
  <si>
    <t>l26141011@queretaro.tecnm.mx</t>
  </si>
  <si>
    <t>HERNANDEZ ESTRADA PALOMA ITZEL</t>
  </si>
  <si>
    <t xml:space="preserve">26141011  </t>
  </si>
  <si>
    <t>ernestoguerrero141@gmail.com</t>
  </si>
  <si>
    <t>l26141015@queretaro.tecnm.mx</t>
  </si>
  <si>
    <t>GUERRERO ZARATE ERNESTO GIOVANNI</t>
  </si>
  <si>
    <t xml:space="preserve">26141015  </t>
  </si>
  <si>
    <t>fridasophiagrimaldoperez7@gmail.com</t>
  </si>
  <si>
    <t>l26140995@queretaro.tecnm.mx</t>
  </si>
  <si>
    <t>GRIMALDO PÉREZ FRIDA SOPHIA</t>
  </si>
  <si>
    <t xml:space="preserve">26140995  </t>
  </si>
  <si>
    <t>migueoficialxd@gmail.com</t>
  </si>
  <si>
    <t>l26140999@queretaro.tecnm.mx</t>
  </si>
  <si>
    <t>GONZÁLEZ ORTEGA MIGUEL ANGEL</t>
  </si>
  <si>
    <t xml:space="preserve">26140999  </t>
  </si>
  <si>
    <t>gheber064@gmail.com</t>
  </si>
  <si>
    <t>l26140947@queretaro.tecnm.mx</t>
  </si>
  <si>
    <t>GONZALEZ MORENO HEBER ALAIN</t>
  </si>
  <si>
    <t xml:space="preserve">26140947  </t>
  </si>
  <si>
    <t>amore.titi442@gmail.com</t>
  </si>
  <si>
    <t>l26140991@queretaro.tecnm.mx</t>
  </si>
  <si>
    <t>GARCIA RIVERA TRISTAN</t>
  </si>
  <si>
    <t xml:space="preserve">26140991  </t>
  </si>
  <si>
    <t>galvangiovanni300@gmail.com</t>
  </si>
  <si>
    <t>l26140955@queretaro.tecnm.mx</t>
  </si>
  <si>
    <t>GALVAN RUBIO GIOVANNI</t>
  </si>
  <si>
    <t xml:space="preserve">26140955  </t>
  </si>
  <si>
    <t>gaelesp0809@gmail.com</t>
  </si>
  <si>
    <t>l26140959@queretaro.tecnm.mx</t>
  </si>
  <si>
    <t>ESPINOZA BAUTISTA GAEL ISAAC</t>
  </si>
  <si>
    <t xml:space="preserve">26140959  </t>
  </si>
  <si>
    <t>santi.carrillo.pichardo@gmail.com</t>
  </si>
  <si>
    <t>l26140967@queretaro.tecnm.mx</t>
  </si>
  <si>
    <t>CARRILLO PICHARDO SANTIAGO</t>
  </si>
  <si>
    <t xml:space="preserve">26140967  </t>
  </si>
  <si>
    <t>alejandrocamacho52@outlook.com</t>
  </si>
  <si>
    <t>l26141047@queretaro.tecnm.mx</t>
  </si>
  <si>
    <t>CAMACHO PRADO ALEJANDRO</t>
  </si>
  <si>
    <t xml:space="preserve">26141047  </t>
  </si>
  <si>
    <t>acodorniz810@gmail.com</t>
  </si>
  <si>
    <t>l26140939@queretaro.tecnm.mx</t>
  </si>
  <si>
    <t>BAUTISTA CODORNIZ ABRAHAM</t>
  </si>
  <si>
    <t xml:space="preserve">26140939  </t>
  </si>
  <si>
    <t>jh12141620@gmail.com</t>
  </si>
  <si>
    <t>l26141031@queretaro.tecnm.mx</t>
  </si>
  <si>
    <t>BARCENAS HERNADEZ JOSE ANTONIO</t>
  </si>
  <si>
    <t xml:space="preserve">26141031  </t>
  </si>
  <si>
    <t>keniamariamartinez383@gmail.com</t>
  </si>
  <si>
    <t>l26140935@queretaro.tecnm.mx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</si>
  <si>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</si>
  <si>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</si>
  <si>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</si>
  <si>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</si>
  <si>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</si>
  <si>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</si>
  <si>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</si>
  <si>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</si>
  <si>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</si>
  <si>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</si>
  <si>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</si>
  <si>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</si>
  <si>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</si>
  <si>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</si>
  <si>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</si>
  <si>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</si>
  <si>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</si>
  <si>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</si>
  <si>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</si>
  <si>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</si>
  <si>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</si>
  <si>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</si>
  <si>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</si>
  <si>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</si>
  <si>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</si>
  <si>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</si>
  <si>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</si>
  <si>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</si>
  <si>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</si>
  <si>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</si>
  <si>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</si>
  <si>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</si>
  <si>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</si>
  <si>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</si>
  <si>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</si>
  <si>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</si>
  <si>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</si>
  <si>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</si>
  <si>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</si>
  <si>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</si>
  <si>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</si>
  <si>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</si>
  <si>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</si>
  <si>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</si>
  <si>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</si>
  <si>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</si>
  <si>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</si>
  <si>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</si>
  <si>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</si>
  <si>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</si>
  <si>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</si>
  <si>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</si>
  <si>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</si>
  <si>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</si>
  <si>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</si>
  <si>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</si>
  <si>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</si>
  <si>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</si>
  <si>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</si>
  <si>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</si>
  <si>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</si>
  <si>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</si>
  <si>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</si>
  <si>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</si>
  <si>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</si>
  <si>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</si>
  <si>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</si>
  <si>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</si>
  <si>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</si>
  <si>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</si>
  <si>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</si>
  <si>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</si>
  <si>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</si>
  <si>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</si>
  <si>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</si>
  <si>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</si>
  <si>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</si>
  <si>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</si>
  <si>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</si>
  <si>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</si>
  <si>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</si>
  <si>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</si>
  <si>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</si>
  <si>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</si>
  <si>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</si>
  <si>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</si>
  <si>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</si>
  <si>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</si>
  <si>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</si>
  <si>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</si>
  <si>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</si>
  <si>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</si>
  <si>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</si>
  <si>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</si>
  <si>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</si>
  <si>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</si>
  <si>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</si>
  <si>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</si>
  <si>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</si>
  <si>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</si>
  <si>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</si>
  <si>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</si>
  <si>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</si>
  <si>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</si>
  <si>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</si>
  <si>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</si>
  <si>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</si>
  <si>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</si>
  <si>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</si>
  <si>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</si>
  <si>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</si>
  <si>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</si>
  <si>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</si>
  <si>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</si>
  <si>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</si>
  <si>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</si>
  <si>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</si>
  <si>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</si>
  <si>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</si>
  <si>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</si>
  <si>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</si>
  <si>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</si>
  <si>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</si>
  <si>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</si>
  <si>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</si>
  <si>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</si>
  <si>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</si>
  <si>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</si>
  <si>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</si>
  <si>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</si>
  <si>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</si>
  <si>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</si>
  <si>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</si>
  <si>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</si>
  <si>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</si>
  <si>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</si>
  <si>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</si>
  <si>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</si>
  <si>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</si>
  <si>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</si>
  <si>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</si>
  <si>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</si>
  <si>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</si>
  <si>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</si>
  <si>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</si>
  <si>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</si>
  <si>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</si>
  <si>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</si>
  <si>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</si>
  <si>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</si>
  <si>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</si>
  <si>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</si>
  <si>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</si>
  <si>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</si>
  <si>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</si>
  <si>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t>ZÚÑIGA MOYA JOSÉ MARÍA</t>
  </si>
  <si>
    <t>VELÁZQUEZ GONZÁLEZ ASIEL</t>
  </si>
  <si>
    <t>VELAZQUEZ ALVAREZ JESUS EDUARDO</t>
  </si>
  <si>
    <t>VEGA GUALITO DANIEL FRANCISCO</t>
  </si>
  <si>
    <t>VARGAS MARTINEZ YERED</t>
  </si>
  <si>
    <t>TREJO MURILLO LUIS ARTURO</t>
  </si>
  <si>
    <t>TOVAR FONSECA LUIS ANGEL</t>
  </si>
  <si>
    <t>TAPIA BECERRIL JUAN CARLOS</t>
  </si>
  <si>
    <t>SIERRA SANCHEZ HÉCTOR GUSTAVO</t>
  </si>
  <si>
    <t>SALINAS ARREDONDO CARLOS ABNER</t>
  </si>
  <si>
    <t>ROSADO MARTÍNEZ CHRISTIAN</t>
  </si>
  <si>
    <t>PÉREZ BAUTISTA AXEL IVÁN</t>
  </si>
  <si>
    <t>PEREZ VEGA ITZEL</t>
  </si>
  <si>
    <t>NÚÑEZ PÉREZ RICARDO</t>
  </si>
  <si>
    <t>MORALES GARCÍA EDER ALEJANDRO</t>
  </si>
  <si>
    <t>MATAMOROS CAMACHO CARLO ISAAC</t>
  </si>
  <si>
    <t>MARTÍNEZ CRISTÓBAL JUAN FRANCISCO</t>
  </si>
  <si>
    <t>LARA CUELLAR OSCAR JESUS</t>
  </si>
  <si>
    <t>JIMENEZ GONZALEZ DIEGO RAFAEL</t>
  </si>
  <si>
    <t>HIGAREDA HERNÁNDEZ ALAN</t>
  </si>
  <si>
    <t>HERNANDEZ PEREZ KIARA SUJEY</t>
  </si>
  <si>
    <t>HERNANDEZ OLVERA ABIGAIL</t>
  </si>
  <si>
    <t>HERNANDEZ GONZALEZ FATIMA</t>
  </si>
  <si>
    <t>HERNANDEZ ESPINO ANA LILIA</t>
  </si>
  <si>
    <t>GRANDE HERNÁNDEZ ALEXIS YAMIL</t>
  </si>
  <si>
    <t>FRANCO CORREA LUIS RICARDO</t>
  </si>
  <si>
    <t>DURAN BARROSO CHRISTOFER</t>
  </si>
  <si>
    <t xml:space="preserve">24140113  </t>
  </si>
  <si>
    <t>CHAVEZ GARCIA JOSE JAHEL</t>
  </si>
  <si>
    <t>CASTRO BORGES RICARDO JOSE</t>
  </si>
  <si>
    <t>MAT</t>
  </si>
  <si>
    <t>CARDENAS ALVAREZ JOCELYN</t>
  </si>
  <si>
    <t>BARRIOS GONZÁLEZ CARLOS EMILIO</t>
  </si>
  <si>
    <t>AYALA TAPIA ROBERTA</t>
  </si>
  <si>
    <t>ALARCÓN RAMIREZ ALAN</t>
  </si>
  <si>
    <t>AGUILAR RAMOS DANIELA</t>
  </si>
  <si>
    <t>ZARATE LUNA DIEGO ALEXANDER</t>
  </si>
  <si>
    <t xml:space="preserve">26140588  </t>
  </si>
  <si>
    <t>VILLANUEVA  SAMUEL</t>
  </si>
  <si>
    <t xml:space="preserve">26141639  </t>
  </si>
  <si>
    <t>VILLAFAÑA CARBAJAL DIEGO</t>
  </si>
  <si>
    <t xml:space="preserve">26140596  </t>
  </si>
  <si>
    <t>VELAZQUEZ ORTIZ JAVIER ISAAC</t>
  </si>
  <si>
    <t xml:space="preserve">26140598  </t>
  </si>
  <si>
    <t>VARGAS RICO OSVALDO DANIEL</t>
  </si>
  <si>
    <t xml:space="preserve">26140612  </t>
  </si>
  <si>
    <t>TEJADA MENDEZ ROBERTO ISMAEL</t>
  </si>
  <si>
    <t xml:space="preserve">26140602  </t>
  </si>
  <si>
    <t>RUIZ TOLEDO SELENE JOCELYN</t>
  </si>
  <si>
    <t xml:space="preserve">26140606  </t>
  </si>
  <si>
    <t>RIVERA PEREZ DAVID AZARIEL</t>
  </si>
  <si>
    <t xml:space="preserve">26140594  </t>
  </si>
  <si>
    <t>RAYAS TIRADO JOSÉ ARMANDO</t>
  </si>
  <si>
    <t xml:space="preserve">26141645  </t>
  </si>
  <si>
    <t>RAMOS FRANCISCO DESERET</t>
  </si>
  <si>
    <t xml:space="preserve">26140604  </t>
  </si>
  <si>
    <t>PEREZ CORONILLA GABRIEL ALFREDO</t>
  </si>
  <si>
    <t xml:space="preserve">26141643  </t>
  </si>
  <si>
    <t>MIRANDA SIQUEIROS VICTOR DANIEL</t>
  </si>
  <si>
    <t xml:space="preserve">26140618  </t>
  </si>
  <si>
    <t>LAVOIGNET RAMIREZ ALEJANDRO</t>
  </si>
  <si>
    <t xml:space="preserve">26140600  </t>
  </si>
  <si>
    <t>JIMÉNEZ MAGOS EMILIANO</t>
  </si>
  <si>
    <t xml:space="preserve">26140592  </t>
  </si>
  <si>
    <t>HERNANDEZ SANCHEZ OSCAR DANIEL</t>
  </si>
  <si>
    <t xml:space="preserve">26140624  </t>
  </si>
  <si>
    <t>GARCÍA LEAL VLADIMIR</t>
  </si>
  <si>
    <t xml:space="preserve">26140622  </t>
  </si>
  <si>
    <t>FLORES CERRILLO ARELY ITZEL</t>
  </si>
  <si>
    <t xml:space="preserve">26140590  </t>
  </si>
  <si>
    <t>ECHEVERRIA ALVAREZ ANTONIO ELIAS</t>
  </si>
  <si>
    <t xml:space="preserve">26141641  </t>
  </si>
  <si>
    <t>DÍAZ GUTIÉRREZ EDUARDO</t>
  </si>
  <si>
    <t xml:space="preserve">26140620  </t>
  </si>
  <si>
    <t>CISNEROS KIGAKU ZHION</t>
  </si>
  <si>
    <t xml:space="preserve">26140616  </t>
  </si>
  <si>
    <t>CELESTINO GARCÍA HERMIONE GUADALUPE</t>
  </si>
  <si>
    <t xml:space="preserve">26140608  </t>
  </si>
  <si>
    <t>BASALDUA CHAVEZ LUIS ABDIEL</t>
  </si>
  <si>
    <t xml:space="preserve">26140614  </t>
  </si>
  <si>
    <t>BAHENA CERINO ALAN ROGELIO</t>
  </si>
  <si>
    <t xml:space="preserve">26141647  </t>
  </si>
  <si>
    <t>SORIANO PEREZ NATALIA</t>
  </si>
  <si>
    <t xml:space="preserve">23140752  </t>
  </si>
  <si>
    <t>SORIA MIRANDA EFRAÍN</t>
  </si>
  <si>
    <t xml:space="preserve">24140771  </t>
  </si>
  <si>
    <t>SILVA PEREZ ERICK MANUEL</t>
  </si>
  <si>
    <t xml:space="preserve">C23140545 </t>
  </si>
  <si>
    <t>RUEDA HERRERA GABRIEL</t>
  </si>
  <si>
    <t xml:space="preserve">C22140586 </t>
  </si>
  <si>
    <t>RUBIO MOLINA OCIEL SAÚL</t>
  </si>
  <si>
    <t xml:space="preserve">24140915  </t>
  </si>
  <si>
    <t>ROJAS BADILLO EMILIO</t>
  </si>
  <si>
    <t xml:space="preserve">25140861  </t>
  </si>
  <si>
    <t>RICO ORTIZ ANDREA MONTSERRAT</t>
  </si>
  <si>
    <t xml:space="preserve">22140692  </t>
  </si>
  <si>
    <t>REVUELTA ARREDONDO ALBERTO</t>
  </si>
  <si>
    <t xml:space="preserve">24141083  </t>
  </si>
  <si>
    <t>RAZO CALDERÓN ESTEFANÍA</t>
  </si>
  <si>
    <t xml:space="preserve">23140799  </t>
  </si>
  <si>
    <t>RANGEL BARRON YOVANI</t>
  </si>
  <si>
    <t xml:space="preserve">23140201  </t>
  </si>
  <si>
    <t>RAMIREZ OSORNIO LUIS EDUARDO</t>
  </si>
  <si>
    <t xml:space="preserve">C23140770 </t>
  </si>
  <si>
    <t>PALMA NUÑEZ JORGE ARMANDO</t>
  </si>
  <si>
    <t xml:space="preserve">C23140184 </t>
  </si>
  <si>
    <t>MEDINA VAZQUEZ DONOVAN JAVIER</t>
  </si>
  <si>
    <t xml:space="preserve">23140183  </t>
  </si>
  <si>
    <t>MARTINEZ VILLANUEVA EMILIO</t>
  </si>
  <si>
    <t xml:space="preserve">C24140955 </t>
  </si>
  <si>
    <t>MARTIN DEL CAMPO NOBLE ALDO</t>
  </si>
  <si>
    <t xml:space="preserve">22140726  </t>
  </si>
  <si>
    <t>LOYA TAFOLLA LUIS FERNANDO</t>
  </si>
  <si>
    <t xml:space="preserve">24140540  </t>
  </si>
  <si>
    <t>LOPEZ ORTIZ ANGEL AMAURY</t>
  </si>
  <si>
    <t xml:space="preserve">25140823  </t>
  </si>
  <si>
    <t>LOARCA HERNANDEZ CHRISTOPHER</t>
  </si>
  <si>
    <t xml:space="preserve">25140923  </t>
  </si>
  <si>
    <t>HERNÁNDEZ GÓMEZ ASHLEY SAMARA</t>
  </si>
  <si>
    <t xml:space="preserve">24140531  </t>
  </si>
  <si>
    <t>HERNANDEZ VALDESPINO CARLOS EDUARDO</t>
  </si>
  <si>
    <t xml:space="preserve">24140124  </t>
  </si>
  <si>
    <t>HERNANDEZ HURTADO ANA CECILIA</t>
  </si>
  <si>
    <t xml:space="preserve">23141082  </t>
  </si>
  <si>
    <t>GUERRERO HERNANDEZ ZAID TADEO</t>
  </si>
  <si>
    <t xml:space="preserve">C22140258 </t>
  </si>
  <si>
    <t>GONZÁLEZ CONTRERAS JULIÁN</t>
  </si>
  <si>
    <t xml:space="preserve">25140806  </t>
  </si>
  <si>
    <t>GONZALEZ DIAZ SILVIA LILIANA</t>
  </si>
  <si>
    <t xml:space="preserve">24141291  </t>
  </si>
  <si>
    <t>GASTELUM MOLINA CAMILA FERNANDA</t>
  </si>
  <si>
    <t xml:space="preserve">25140208  </t>
  </si>
  <si>
    <t>CRUZ OLVERA ERICK EMMANUEL</t>
  </si>
  <si>
    <t xml:space="preserve">24140700  </t>
  </si>
  <si>
    <t>CASTILLO SANCHEZ MARIA GUADALUPE</t>
  </si>
  <si>
    <t xml:space="preserve">25140146  </t>
  </si>
  <si>
    <t>CAMARENA PICHARDO SEBASTIAN</t>
  </si>
  <si>
    <t xml:space="preserve">C23140748 </t>
  </si>
  <si>
    <t>ALBA REYES JOSÉ RODRIGO</t>
  </si>
  <si>
    <t xml:space="preserve">25140880  </t>
  </si>
  <si>
    <t>Complejos</t>
  </si>
  <si>
    <t>Areas
curvas</t>
  </si>
  <si>
    <t>GARCÍA GARCÍA DIEGO</t>
  </si>
  <si>
    <t>Prerequisitos_27</t>
  </si>
  <si>
    <t>Prerequisitos_28</t>
  </si>
  <si>
    <t>Tareita_2</t>
  </si>
  <si>
    <t>Campos</t>
  </si>
  <si>
    <t>Prereq
 27</t>
  </si>
  <si>
    <t>Prereq
 28</t>
  </si>
  <si>
    <t>Desigualdades</t>
  </si>
  <si>
    <t>Desigualdades
2</t>
  </si>
  <si>
    <t>Desigualdades
1</t>
  </si>
  <si>
    <t>15 horas</t>
  </si>
  <si>
    <t>ING</t>
  </si>
  <si>
    <t>08 HORAS</t>
  </si>
  <si>
    <t>18 HORAS</t>
  </si>
  <si>
    <t>NO CTRL</t>
  </si>
  <si>
    <t>Primer 
Parcial</t>
  </si>
  <si>
    <t>Procedimiento</t>
  </si>
  <si>
    <t>Operaciones</t>
  </si>
  <si>
    <t>Resultado</t>
  </si>
  <si>
    <t>Puntos</t>
  </si>
  <si>
    <t>Problema 1</t>
  </si>
  <si>
    <t>Calificacion</t>
  </si>
  <si>
    <t>Puntaje
obtenido</t>
  </si>
  <si>
    <t>Problema 1 - PARTE 1</t>
  </si>
  <si>
    <t>Problema 2 - PARTE 1</t>
  </si>
  <si>
    <t>Problema 3 - PARTE 2</t>
  </si>
  <si>
    <t>Problema 4 - PARTE 2</t>
  </si>
  <si>
    <t>Gráfica</t>
  </si>
  <si>
    <t>Intervalo</t>
  </si>
  <si>
    <t>Problema 5- PARTE 3</t>
  </si>
  <si>
    <t>Problema 6 - PARTE 3</t>
  </si>
  <si>
    <t>Problema 7 - PARTE 4</t>
  </si>
  <si>
    <t>Problema 8 - PARTE 4</t>
  </si>
  <si>
    <t>EXTRAS</t>
  </si>
  <si>
    <t>PUNTAJE
FINAL</t>
  </si>
  <si>
    <t>Intervalo/
 CS</t>
  </si>
  <si>
    <t>Adicionales</t>
  </si>
  <si>
    <t>PORTAFOLIO</t>
  </si>
  <si>
    <t>ASISTENCIAS</t>
  </si>
  <si>
    <t>CRUZ MARTINEZ IVAN</t>
  </si>
  <si>
    <t>Primer
Parcial</t>
  </si>
  <si>
    <t>Asistencias</t>
  </si>
  <si>
    <t>Portafolio</t>
  </si>
  <si>
    <t>Califcacion
 Final</t>
  </si>
  <si>
    <t>Watanabe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</si>
</sst>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7030A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4" fillId="0" borderId="0" xfId="1"/>
    <xf numFmtId="0" fontId="4" fillId="3" borderId="1" xfId="1" applyFill="1" applyBorder="1"/>
    <xf numFmtId="0" fontId="4" fillId="3" borderId="1" xfId="1" applyFill="1" applyBorder="1" applyAlignment="1">
      <alignment horizontal="center"/>
    </xf>
    <xf numFmtId="0" fontId="4" fillId="4" borderId="1" xfId="1" applyFill="1" applyBorder="1"/>
    <xf numFmtId="0" fontId="4" fillId="4" borderId="1" xfId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5" fillId="3" borderId="1" xfId="1" applyFont="1" applyFill="1" applyBorder="1"/>
    <xf numFmtId="0" fontId="5" fillId="4" borderId="1" xfId="1" applyFont="1" applyFill="1" applyBorder="1"/>
    <xf numFmtId="0" fontId="1" fillId="2" borderId="1" xfId="1" applyFont="1" applyFill="1" applyBorder="1" applyAlignment="1">
      <alignment horizontal="left"/>
    </xf>
    <xf numFmtId="0" fontId="4" fillId="3" borderId="1" xfId="1" applyFill="1" applyBorder="1" applyAlignment="1">
      <alignment horizontal="left"/>
    </xf>
    <xf numFmtId="0" fontId="4" fillId="4" borderId="1" xfId="1" applyFill="1" applyBorder="1" applyAlignment="1">
      <alignment horizontal="left"/>
    </xf>
    <xf numFmtId="0" fontId="4" fillId="0" borderId="0" xfId="1" applyAlignment="1">
      <alignment horizontal="left"/>
    </xf>
    <xf numFmtId="0" fontId="4" fillId="5" borderId="1" xfId="1" applyFill="1" applyBorder="1"/>
    <xf numFmtId="0" fontId="4" fillId="6" borderId="1" xfId="1" applyFill="1" applyBorder="1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0" borderId="0" xfId="1" applyFont="1"/>
    <xf numFmtId="0" fontId="1" fillId="2" borderId="6" xfId="1" applyFont="1" applyFill="1" applyBorder="1" applyAlignment="1">
      <alignment horizontal="center" wrapText="1"/>
    </xf>
    <xf numFmtId="0" fontId="1" fillId="2" borderId="8" xfId="1" applyFont="1" applyFill="1" applyBorder="1" applyAlignment="1">
      <alignment horizontal="center" wrapText="1"/>
    </xf>
    <xf numFmtId="0" fontId="1" fillId="2" borderId="10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1" fillId="2" borderId="12" xfId="1" applyFont="1" applyFill="1" applyBorder="1" applyAlignment="1">
      <alignment horizontal="center" wrapText="1"/>
    </xf>
    <xf numFmtId="0" fontId="1" fillId="2" borderId="13" xfId="1" applyFont="1" applyFill="1" applyBorder="1" applyAlignment="1">
      <alignment horizontal="center"/>
    </xf>
    <xf numFmtId="0" fontId="6" fillId="5" borderId="1" xfId="1" applyFont="1" applyFill="1" applyBorder="1"/>
    <xf numFmtId="0" fontId="1" fillId="2" borderId="2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/>
    </xf>
    <xf numFmtId="0" fontId="6" fillId="5" borderId="10" xfId="1" applyFont="1" applyFill="1" applyBorder="1"/>
    <xf numFmtId="0" fontId="4" fillId="3" borderId="12" xfId="1" applyFill="1" applyBorder="1"/>
    <xf numFmtId="0" fontId="4" fillId="4" borderId="12" xfId="1" applyFill="1" applyBorder="1"/>
    <xf numFmtId="0" fontId="1" fillId="2" borderId="0" xfId="1" applyFont="1" applyFill="1" applyAlignment="1">
      <alignment horizontal="center" wrapText="1"/>
    </xf>
    <xf numFmtId="0" fontId="1" fillId="2" borderId="15" xfId="1" applyFont="1" applyFill="1" applyBorder="1" applyAlignment="1">
      <alignment horizontal="center" wrapText="1"/>
    </xf>
    <xf numFmtId="0" fontId="1" fillId="2" borderId="16" xfId="1" applyFont="1" applyFill="1" applyBorder="1" applyAlignment="1">
      <alignment horizontal="center" wrapText="1"/>
    </xf>
    <xf numFmtId="0" fontId="1" fillId="2" borderId="17" xfId="1" applyFont="1" applyFill="1" applyBorder="1" applyAlignment="1">
      <alignment horizontal="center" wrapText="1"/>
    </xf>
    <xf numFmtId="0" fontId="1" fillId="2" borderId="18" xfId="1" applyFont="1" applyFill="1" applyBorder="1" applyAlignment="1">
      <alignment horizontal="center" wrapText="1"/>
    </xf>
    <xf numFmtId="0" fontId="1" fillId="2" borderId="19" xfId="1" applyFont="1" applyFill="1" applyBorder="1" applyAlignment="1">
      <alignment horizontal="center" wrapText="1"/>
    </xf>
    <xf numFmtId="0" fontId="1" fillId="2" borderId="20" xfId="1" applyFont="1" applyFill="1" applyBorder="1" applyAlignment="1">
      <alignment horizontal="center" wrapText="1"/>
    </xf>
    <xf numFmtId="0" fontId="1" fillId="2" borderId="21" xfId="1" applyFont="1" applyFill="1" applyBorder="1" applyAlignment="1">
      <alignment horizontal="center"/>
    </xf>
    <xf numFmtId="0" fontId="4" fillId="3" borderId="20" xfId="1" applyFill="1" applyBorder="1"/>
    <xf numFmtId="0" fontId="4" fillId="4" borderId="20" xfId="1" applyFill="1" applyBorder="1"/>
    <xf numFmtId="0" fontId="4" fillId="3" borderId="22" xfId="1" applyFill="1" applyBorder="1"/>
    <xf numFmtId="0" fontId="4" fillId="3" borderId="23" xfId="1" applyFill="1" applyBorder="1"/>
    <xf numFmtId="0" fontId="5" fillId="7" borderId="1" xfId="1" applyFont="1" applyFill="1" applyBorder="1"/>
    <xf numFmtId="0" fontId="1" fillId="2" borderId="0" xfId="1" applyFont="1" applyFill="1" applyAlignment="1">
      <alignment horizontal="center" textRotation="255"/>
    </xf>
    <xf numFmtId="0" fontId="1" fillId="2" borderId="8" xfId="1" applyFont="1" applyFill="1" applyBorder="1" applyAlignment="1">
      <alignment horizontal="center" textRotation="255"/>
    </xf>
    <xf numFmtId="0" fontId="5" fillId="4" borderId="1" xfId="1" applyFont="1" applyFill="1" applyBorder="1" applyAlignment="1">
      <alignment horizontal="left"/>
    </xf>
    <xf numFmtId="0" fontId="1" fillId="2" borderId="2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4" fillId="3" borderId="13" xfId="1" applyFill="1" applyBorder="1" applyAlignment="1">
      <alignment horizontal="center"/>
    </xf>
    <xf numFmtId="0" fontId="4" fillId="3" borderId="24" xfId="1" applyFill="1" applyBorder="1" applyAlignment="1">
      <alignment horizontal="center"/>
    </xf>
    <xf numFmtId="0" fontId="1" fillId="2" borderId="8" xfId="1" applyFont="1" applyFill="1" applyBorder="1" applyAlignment="1">
      <alignment horizontal="center"/>
    </xf>
    <xf numFmtId="0" fontId="6" fillId="5" borderId="11" xfId="1" applyFont="1" applyFill="1" applyBorder="1"/>
    <xf numFmtId="0" fontId="6" fillId="5" borderId="9" xfId="1" applyFont="1" applyFill="1" applyBorder="1"/>
    <xf numFmtId="0" fontId="4" fillId="7" borderId="1" xfId="1" applyFill="1" applyBorder="1"/>
    <xf numFmtId="0" fontId="1" fillId="2" borderId="4" xfId="1" applyFont="1" applyFill="1" applyBorder="1" applyAlignment="1">
      <alignment horizontal="center" wrapText="1"/>
    </xf>
    <xf numFmtId="0" fontId="4" fillId="9" borderId="1" xfId="1" applyFill="1" applyBorder="1"/>
    <xf numFmtId="0" fontId="4" fillId="9" borderId="1" xfId="1" applyFill="1" applyBorder="1" applyAlignment="1">
      <alignment horizontal="left"/>
    </xf>
    <xf numFmtId="0" fontId="6" fillId="9" borderId="1" xfId="1" applyFont="1" applyFill="1" applyBorder="1"/>
    <xf numFmtId="0" fontId="6" fillId="9" borderId="10" xfId="1" applyFont="1" applyFill="1" applyBorder="1"/>
    <xf numFmtId="0" fontId="6" fillId="9" borderId="11" xfId="1" applyFont="1" applyFill="1" applyBorder="1"/>
    <xf numFmtId="0" fontId="4" fillId="9" borderId="20" xfId="1" applyFill="1" applyBorder="1"/>
    <xf numFmtId="0" fontId="5" fillId="9" borderId="1" xfId="1" applyFont="1" applyFill="1" applyBorder="1"/>
    <xf numFmtId="0" fontId="4" fillId="9" borderId="12" xfId="1" applyFill="1" applyBorder="1"/>
    <xf numFmtId="0" fontId="4" fillId="9" borderId="24" xfId="1" applyFill="1" applyBorder="1" applyAlignment="1">
      <alignment horizontal="center"/>
    </xf>
    <xf numFmtId="0" fontId="4" fillId="10" borderId="0" xfId="1" applyFill="1"/>
    <xf numFmtId="0" fontId="4" fillId="9" borderId="13" xfId="1" applyFill="1" applyBorder="1" applyAlignment="1">
      <alignment horizontal="center"/>
    </xf>
    <xf numFmtId="0" fontId="4" fillId="9" borderId="1" xfId="1" applyFill="1" applyBorder="1" applyAlignment="1">
      <alignment horizontal="center"/>
    </xf>
    <xf numFmtId="0" fontId="4" fillId="0" borderId="1" xfId="1" applyBorder="1"/>
    <xf numFmtId="0" fontId="4" fillId="0" borderId="1" xfId="1" applyBorder="1" applyAlignment="1">
      <alignment horizontal="left"/>
    </xf>
    <xf numFmtId="0" fontId="6" fillId="0" borderId="1" xfId="1" applyFont="1" applyBorder="1"/>
    <xf numFmtId="0" fontId="6" fillId="0" borderId="10" xfId="1" applyFont="1" applyBorder="1"/>
    <xf numFmtId="0" fontId="6" fillId="0" borderId="11" xfId="1" applyFont="1" applyBorder="1"/>
    <xf numFmtId="0" fontId="4" fillId="0" borderId="20" xfId="1" applyBorder="1"/>
    <xf numFmtId="0" fontId="5" fillId="0" borderId="1" xfId="1" applyFont="1" applyBorder="1"/>
    <xf numFmtId="0" fontId="4" fillId="0" borderId="12" xfId="1" applyBorder="1"/>
    <xf numFmtId="0" fontId="4" fillId="0" borderId="24" xfId="1" applyBorder="1" applyAlignment="1">
      <alignment horizontal="center"/>
    </xf>
    <xf numFmtId="0" fontId="4" fillId="0" borderId="0" xfId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10" borderId="0" xfId="0" applyFill="1"/>
    <xf numFmtId="0" fontId="4" fillId="5" borderId="1" xfId="1" applyFill="1" applyBorder="1" applyAlignment="1">
      <alignment horizontal="center"/>
    </xf>
    <xf numFmtId="0" fontId="4" fillId="11" borderId="0" xfId="1" applyFill="1"/>
    <xf numFmtId="0" fontId="4" fillId="10" borderId="0" xfId="1" applyFill="1" applyAlignment="1">
      <alignment horizontal="left"/>
    </xf>
    <xf numFmtId="0" fontId="4" fillId="5" borderId="1" xfId="1" applyFill="1" applyBorder="1" applyAlignment="1">
      <alignment horizontal="left"/>
    </xf>
    <xf numFmtId="2" fontId="4" fillId="3" borderId="1" xfId="1" applyNumberFormat="1" applyFill="1" applyBorder="1"/>
    <xf numFmtId="0" fontId="0" fillId="5" borderId="1" xfId="0" applyFill="1" applyBorder="1"/>
    <xf numFmtId="0" fontId="7" fillId="7" borderId="1" xfId="1" applyFont="1" applyFill="1" applyBorder="1"/>
    <xf numFmtId="1" fontId="4" fillId="3" borderId="1" xfId="1" applyNumberFormat="1" applyFill="1" applyBorder="1" applyAlignment="1">
      <alignment horizontal="center"/>
    </xf>
    <xf numFmtId="0" fontId="0" fillId="3" borderId="24" xfId="0" applyFill="1" applyBorder="1"/>
    <xf numFmtId="1" fontId="4" fillId="7" borderId="1" xfId="1" applyNumberFormat="1" applyFill="1" applyBorder="1" applyAlignment="1">
      <alignment horizontal="center"/>
    </xf>
    <xf numFmtId="1" fontId="4" fillId="4" borderId="1" xfId="1" applyNumberFormat="1" applyFill="1" applyBorder="1" applyAlignment="1">
      <alignment horizontal="center"/>
    </xf>
    <xf numFmtId="1" fontId="6" fillId="5" borderId="1" xfId="1" applyNumberFormat="1" applyFont="1" applyFill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" fontId="6" fillId="9" borderId="1" xfId="1" applyNumberFormat="1" applyFont="1" applyFill="1" applyBorder="1" applyAlignment="1">
      <alignment horizontal="center"/>
    </xf>
    <xf numFmtId="0" fontId="1" fillId="2" borderId="10" xfId="1" applyFont="1" applyFill="1" applyBorder="1" applyAlignment="1">
      <alignment horizontal="center" wrapText="1"/>
    </xf>
    <xf numFmtId="0" fontId="1" fillId="2" borderId="11" xfId="1" applyFont="1" applyFill="1" applyBorder="1" applyAlignment="1">
      <alignment horizontal="center" wrapText="1"/>
    </xf>
    <xf numFmtId="0" fontId="1" fillId="2" borderId="2" xfId="1" applyFont="1" applyFill="1" applyBorder="1" applyAlignment="1">
      <alignment horizontal="center" wrapText="1"/>
    </xf>
    <xf numFmtId="0" fontId="1" fillId="2" borderId="6" xfId="1" applyFont="1" applyFill="1" applyBorder="1" applyAlignment="1">
      <alignment horizontal="center"/>
    </xf>
    <xf numFmtId="0" fontId="1" fillId="2" borderId="0" xfId="1" applyFont="1" applyFill="1" applyAlignment="1">
      <alignment horizontal="center" textRotation="255"/>
    </xf>
    <xf numFmtId="0" fontId="1" fillId="2" borderId="8" xfId="1" applyFont="1" applyFill="1" applyBorder="1" applyAlignment="1">
      <alignment horizontal="center" textRotation="255"/>
    </xf>
    <xf numFmtId="0" fontId="4" fillId="3" borderId="13" xfId="1" applyFill="1" applyBorder="1" applyAlignment="1">
      <alignment horizontal="center"/>
    </xf>
    <xf numFmtId="0" fontId="4" fillId="3" borderId="24" xfId="1" applyFill="1" applyBorder="1" applyAlignment="1">
      <alignment horizontal="center"/>
    </xf>
    <xf numFmtId="0" fontId="4" fillId="3" borderId="14" xfId="1" applyFill="1" applyBorder="1" applyAlignment="1">
      <alignment horizontal="center"/>
    </xf>
    <xf numFmtId="0" fontId="1" fillId="2" borderId="15" xfId="1" applyFont="1" applyFill="1" applyBorder="1" applyAlignment="1">
      <alignment horizontal="center" wrapText="1"/>
    </xf>
    <xf numFmtId="0" fontId="1" fillId="2" borderId="16" xfId="1" applyFont="1" applyFill="1" applyBorder="1" applyAlignment="1">
      <alignment horizontal="center" wrapText="1"/>
    </xf>
    <xf numFmtId="0" fontId="1" fillId="2" borderId="17" xfId="1" applyFont="1" applyFill="1" applyBorder="1" applyAlignment="1">
      <alignment horizontal="center" wrapText="1"/>
    </xf>
    <xf numFmtId="0" fontId="1" fillId="2" borderId="18" xfId="1" applyFont="1" applyFill="1" applyBorder="1" applyAlignment="1">
      <alignment horizontal="center" wrapText="1"/>
    </xf>
    <xf numFmtId="0" fontId="1" fillId="2" borderId="19" xfId="1" applyFont="1" applyFill="1" applyBorder="1" applyAlignment="1">
      <alignment horizontal="center" wrapText="1"/>
    </xf>
    <xf numFmtId="0" fontId="1" fillId="2" borderId="4" xfId="1" applyFont="1" applyFill="1" applyBorder="1" applyAlignment="1">
      <alignment horizontal="center" wrapText="1"/>
    </xf>
    <xf numFmtId="0" fontId="1" fillId="2" borderId="0" xfId="1" applyFont="1" applyFill="1" applyAlignment="1">
      <alignment horizontal="center" wrapText="1"/>
    </xf>
    <xf numFmtId="0" fontId="4" fillId="3" borderId="2" xfId="1" applyFill="1" applyBorder="1" applyAlignment="1">
      <alignment horizontal="center"/>
    </xf>
    <xf numFmtId="0" fontId="4" fillId="3" borderId="3" xfId="1" applyFill="1" applyBorder="1" applyAlignment="1">
      <alignment horizontal="center"/>
    </xf>
    <xf numFmtId="0" fontId="4" fillId="3" borderId="4" xfId="1" applyFill="1" applyBorder="1" applyAlignment="1">
      <alignment horizontal="center"/>
    </xf>
    <xf numFmtId="0" fontId="4" fillId="3" borderId="5" xfId="1" applyFill="1" applyBorder="1" applyAlignment="1">
      <alignment horizontal="center"/>
    </xf>
    <xf numFmtId="0" fontId="4" fillId="3" borderId="6" xfId="1" applyFill="1" applyBorder="1" applyAlignment="1">
      <alignment horizontal="center"/>
    </xf>
    <xf numFmtId="0" fontId="4" fillId="3" borderId="7" xfId="1" applyFill="1" applyBorder="1" applyAlignment="1">
      <alignment horizontal="center"/>
    </xf>
    <xf numFmtId="0" fontId="1" fillId="2" borderId="25" xfId="1" applyFont="1" applyFill="1" applyBorder="1" applyAlignment="1">
      <alignment horizontal="center" wrapText="1"/>
    </xf>
    <xf numFmtId="0" fontId="1" fillId="2" borderId="26" xfId="1" applyFont="1" applyFill="1" applyBorder="1" applyAlignment="1">
      <alignment horizontal="center" wrapText="1"/>
    </xf>
    <xf numFmtId="0" fontId="4" fillId="8" borderId="27" xfId="1" applyFill="1" applyBorder="1" applyAlignment="1">
      <alignment horizontal="center"/>
    </xf>
    <xf numFmtId="0" fontId="4" fillId="8" borderId="25" xfId="1" applyFill="1" applyBorder="1" applyAlignment="1">
      <alignment horizontal="center"/>
    </xf>
    <xf numFmtId="0" fontId="4" fillId="8" borderId="26" xfId="1" applyFill="1" applyBorder="1" applyAlignment="1">
      <alignment horizontal="center"/>
    </xf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arlosmartinez/Proyectos/Github/CalculoDiferencialTNM/Asistencias/Asistencias_General.xlsx" TargetMode="External"/><Relationship Id="rId1" Type="http://schemas.openxmlformats.org/officeDocument/2006/relationships/externalLinkPath" Target="Asistencias_Gen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A_CD"/>
      <sheetName val="M08_CI"/>
      <sheetName val="M13_CI"/>
      <sheetName val="M09_AL"/>
      <sheetName val="9M_CD"/>
      <sheetName val="4B_CD"/>
      <sheetName val="3V_CD"/>
      <sheetName val="11A_TCD"/>
      <sheetName val="6W_TCD"/>
    </sheetNames>
    <sheetDataSet>
      <sheetData sheetId="0">
        <row r="1">
          <cell r="C1" t="str">
            <v>MATERIA: CÁLCULO DIFERENCIAL (ACF2301)</v>
          </cell>
        </row>
        <row r="2">
          <cell r="C2" t="str">
            <v>NOMBRE ALUMNO</v>
          </cell>
          <cell r="J2"/>
        </row>
        <row r="3">
          <cell r="C3" t="str">
            <v>ABARCA ADAMS CARLOS GAEL</v>
          </cell>
          <cell r="J3">
            <v>1</v>
          </cell>
        </row>
        <row r="4">
          <cell r="C4" t="str">
            <v>ALONSO MÉNDEZ SANTIAGO</v>
          </cell>
          <cell r="J4">
            <v>0.9285714285714286</v>
          </cell>
        </row>
        <row r="5">
          <cell r="C5" t="str">
            <v>ALVAREZ ALVAREZ JAVIER</v>
          </cell>
          <cell r="J5">
            <v>1</v>
          </cell>
        </row>
        <row r="6">
          <cell r="C6" t="str">
            <v>BADILLO OLVERA DIEGO ADRIAN</v>
          </cell>
          <cell r="J6">
            <v>1</v>
          </cell>
        </row>
        <row r="7">
          <cell r="C7" t="str">
            <v>BARBOSA RODRIGUEZ ABRAHAM ALEJANDRO</v>
          </cell>
          <cell r="J7">
            <v>1</v>
          </cell>
        </row>
        <row r="8">
          <cell r="C8" t="str">
            <v>BARRIOS RAMIREZ SERGIO</v>
          </cell>
          <cell r="J8">
            <v>0</v>
          </cell>
        </row>
        <row r="9">
          <cell r="C9" t="str">
            <v>CHAVERO CHAIRE RENATO</v>
          </cell>
          <cell r="J9">
            <v>0</v>
          </cell>
        </row>
        <row r="10">
          <cell r="C10" t="str">
            <v>CHÁVEZ PÉREZ EMILIANO</v>
          </cell>
          <cell r="J10">
            <v>1</v>
          </cell>
        </row>
        <row r="11">
          <cell r="C11" t="str">
            <v>CORDOVA MARTINEZ RICARDO</v>
          </cell>
          <cell r="J11">
            <v>1</v>
          </cell>
        </row>
        <row r="12">
          <cell r="C12" t="str">
            <v>DE JESÚS MENDOZA EUGENIO ABED</v>
          </cell>
          <cell r="J12">
            <v>1</v>
          </cell>
        </row>
        <row r="13">
          <cell r="C13" t="str">
            <v>DE SANTIAGO PEREZ ANGEL MIGUEL</v>
          </cell>
          <cell r="J13">
            <v>1</v>
          </cell>
        </row>
        <row r="14">
          <cell r="C14" t="str">
            <v>DOMINGUEZ CRUZ CRISTIAN EDUARDO</v>
          </cell>
          <cell r="J14">
            <v>1</v>
          </cell>
        </row>
        <row r="15">
          <cell r="C15" t="str">
            <v>ELVIRA JUAREZ ALDO</v>
          </cell>
          <cell r="J15">
            <v>1</v>
          </cell>
        </row>
        <row r="16">
          <cell r="C16" t="str">
            <v>ESTRADA GARCÍA ALEXA VALERIA</v>
          </cell>
          <cell r="J16">
            <v>1</v>
          </cell>
        </row>
        <row r="17">
          <cell r="C17" t="str">
            <v>GONZÁLEZ BARRIENTOS JOSÉ ANTONIO</v>
          </cell>
          <cell r="J17">
            <v>7.1428571428571425E-2</v>
          </cell>
        </row>
        <row r="18">
          <cell r="C18" t="str">
            <v>GONZÁLEZ HERRERA EMILIO ALEJANDRO</v>
          </cell>
          <cell r="J18">
            <v>1</v>
          </cell>
        </row>
        <row r="19">
          <cell r="C19" t="str">
            <v>GUTIÉRREZ AGAPITO NADIA</v>
          </cell>
          <cell r="J19">
            <v>0.2857142857142857</v>
          </cell>
        </row>
        <row r="20">
          <cell r="C20" t="str">
            <v>GÒMEZ HERNÀNDEZ ALEJANDRO</v>
          </cell>
          <cell r="J20">
            <v>0</v>
          </cell>
        </row>
        <row r="21">
          <cell r="C21" t="str">
            <v>HERNÁNDEZ  LEONARDO ALEXANDER</v>
          </cell>
          <cell r="J21">
            <v>1</v>
          </cell>
        </row>
        <row r="22">
          <cell r="C22" t="str">
            <v>JIMÉNEZ OLMOS ANGELA</v>
          </cell>
          <cell r="J22">
            <v>0</v>
          </cell>
        </row>
        <row r="23">
          <cell r="C23" t="str">
            <v>LOPEZ LEON LANDER YAEL</v>
          </cell>
          <cell r="J23">
            <v>0.2857142857142857</v>
          </cell>
        </row>
        <row r="24">
          <cell r="C24" t="str">
            <v>LÓPEZ PÉREZ RAZIEL</v>
          </cell>
          <cell r="J24">
            <v>7.1428571428571425E-2</v>
          </cell>
        </row>
        <row r="25">
          <cell r="C25" t="str">
            <v>LÓPEZ SERRANO RODRIGO</v>
          </cell>
          <cell r="J25">
            <v>1</v>
          </cell>
        </row>
        <row r="26">
          <cell r="C26" t="str">
            <v>MALDONADO MALAGON PAOLA MICHELLE</v>
          </cell>
          <cell r="J26">
            <v>1</v>
          </cell>
        </row>
        <row r="27">
          <cell r="C27" t="str">
            <v>MARTINEZ CHACON DAVID ALBERTO</v>
          </cell>
          <cell r="J27">
            <v>1</v>
          </cell>
        </row>
        <row r="28">
          <cell r="C28" t="str">
            <v>MONTES LÓPEZ MIGUEL ALBERTO</v>
          </cell>
          <cell r="J28">
            <v>1</v>
          </cell>
        </row>
        <row r="29">
          <cell r="C29" t="str">
            <v>PALACIOS PALACIOS IAN LEONARDO</v>
          </cell>
          <cell r="J29">
            <v>1</v>
          </cell>
        </row>
        <row r="30">
          <cell r="C30" t="str">
            <v>RAMÍREZ DURAN MARCOS EUGENIO</v>
          </cell>
          <cell r="J30">
            <v>1</v>
          </cell>
        </row>
        <row r="31">
          <cell r="C31" t="str">
            <v>RESÉNDIZ CONTRERAS JOEL GAMALIEL</v>
          </cell>
          <cell r="J31">
            <v>1</v>
          </cell>
        </row>
        <row r="32">
          <cell r="C32" t="str">
            <v>RUIZ BALDERAS IAN FERNANDO</v>
          </cell>
          <cell r="J32">
            <v>1</v>
          </cell>
        </row>
        <row r="33">
          <cell r="C33" t="str">
            <v>SANCHEZ BASILIO ANGEL JOAN</v>
          </cell>
          <cell r="J33">
            <v>1</v>
          </cell>
        </row>
        <row r="34">
          <cell r="C34" t="str">
            <v>SECUNDINO CONTADOR SARA</v>
          </cell>
          <cell r="J34">
            <v>1</v>
          </cell>
        </row>
        <row r="35">
          <cell r="C35" t="str">
            <v>SÁNCHEZ TREVIÑO ALEJANDRO</v>
          </cell>
          <cell r="J35">
            <v>1</v>
          </cell>
        </row>
        <row r="36">
          <cell r="C36" t="str">
            <v>TADEO SANTOS CÉSAR GAEL</v>
          </cell>
          <cell r="J36">
            <v>0.9285714285714286</v>
          </cell>
        </row>
        <row r="37">
          <cell r="C37" t="str">
            <v>VARGAS GÜENDULAIN IKER EDEL</v>
          </cell>
          <cell r="J37">
            <v>1</v>
          </cell>
        </row>
        <row r="38">
          <cell r="C38" t="str">
            <v>VILLEGAS RICO MATEO</v>
          </cell>
          <cell r="J38">
            <v>1</v>
          </cell>
        </row>
        <row r="39">
          <cell r="C39" t="str">
            <v>ZÚÑIGA GÓMEZ MIGUEL ÁNGEL</v>
          </cell>
          <cell r="J39">
            <v>1</v>
          </cell>
        </row>
        <row r="40">
          <cell r="C40" t="str">
            <v>Watanabe Rio</v>
          </cell>
        </row>
      </sheetData>
      <sheetData sheetId="1">
        <row r="1">
          <cell r="C1" t="str">
            <v>MATERIA: CÁLCULO INTEGRAL (ACF0902)</v>
          </cell>
        </row>
        <row r="2">
          <cell r="C2" t="str">
            <v>NOMBRE ALUMNO</v>
          </cell>
          <cell r="I2" t="str">
            <v>Asistencias</v>
          </cell>
        </row>
        <row r="3">
          <cell r="C3" t="str">
            <v>ANGELES SERRATO MAXIMILIANO</v>
          </cell>
          <cell r="I3">
            <v>1</v>
          </cell>
        </row>
        <row r="4">
          <cell r="C4" t="str">
            <v>BARBOSA BARRIOS EMILIANO</v>
          </cell>
          <cell r="I4">
            <v>0.91304347826086951</v>
          </cell>
        </row>
        <row r="5">
          <cell r="C5" t="str">
            <v>BARCENAS JASSO YOALLI  DANAE</v>
          </cell>
          <cell r="I5">
            <v>0.91304347826086951</v>
          </cell>
        </row>
        <row r="6">
          <cell r="C6" t="str">
            <v>BREÑA MARTINEZ PABLO ENRIQUE</v>
          </cell>
          <cell r="I6">
            <v>0.86363636363636365</v>
          </cell>
        </row>
        <row r="7">
          <cell r="C7" t="str">
            <v>BUSTOS HERNÁNDEZ EMILIANO GERMAN</v>
          </cell>
          <cell r="I7">
            <v>0</v>
          </cell>
        </row>
        <row r="8">
          <cell r="C8" t="str">
            <v>CASILLAS MEJIA CARLOS DANIEL</v>
          </cell>
          <cell r="I8">
            <v>0.72727272727272729</v>
          </cell>
        </row>
        <row r="9">
          <cell r="C9" t="str">
            <v>CORONA GONZALEZ YATZIL MONSERRAT</v>
          </cell>
          <cell r="I9">
            <v>0</v>
          </cell>
        </row>
        <row r="10">
          <cell r="C10" t="str">
            <v>CRUZ GONZÁLEZ ERICK</v>
          </cell>
          <cell r="I10">
            <v>8.6956521739130432E-2</v>
          </cell>
        </row>
        <row r="11">
          <cell r="C11" t="str">
            <v>CRUZ JIMÉNEZ SEBASTIÁN</v>
          </cell>
          <cell r="I11">
            <v>0.95652173913043481</v>
          </cell>
        </row>
        <row r="12">
          <cell r="C12" t="str">
            <v>CRUZ MARTINEZ ALEJANDRO</v>
          </cell>
          <cell r="I12">
            <v>4.3478260869565216E-2</v>
          </cell>
        </row>
        <row r="13">
          <cell r="C13" t="str">
            <v>CÓRDOVA PADILLA JOSÉ ADRIAN</v>
          </cell>
          <cell r="I13">
            <v>4.3478260869565216E-2</v>
          </cell>
        </row>
        <row r="14">
          <cell r="C14" t="str">
            <v>ESPINOZA ESPINOZA MARIA CELESTE</v>
          </cell>
          <cell r="I14">
            <v>1</v>
          </cell>
        </row>
        <row r="15">
          <cell r="C15" t="str">
            <v>FRIAS TREJO SEBASTIÁN ALONSO</v>
          </cell>
          <cell r="I15">
            <v>4.3478260869565216E-2</v>
          </cell>
        </row>
        <row r="16">
          <cell r="C16" t="str">
            <v>GARCÍA RAMÍREZ BRIAN ARMANDO</v>
          </cell>
          <cell r="I16">
            <v>0.86363636363636365</v>
          </cell>
        </row>
        <row r="17">
          <cell r="C17" t="str">
            <v>GONZALEZ MORALES MARCO ANTONIO</v>
          </cell>
          <cell r="I17">
            <v>0.95652173913043481</v>
          </cell>
        </row>
        <row r="18">
          <cell r="C18" t="str">
            <v>GRANDE HERNÁNDEZ ANGEL DANIEL</v>
          </cell>
          <cell r="I18">
            <v>0.91304347826086951</v>
          </cell>
        </row>
        <row r="19">
          <cell r="C19" t="str">
            <v>HERNANDEZ GARCIA DAVID</v>
          </cell>
          <cell r="I19">
            <v>0.90909090909090906</v>
          </cell>
        </row>
        <row r="20">
          <cell r="C20" t="str">
            <v>HERNANDEZ GASPAR FERNANDO TONATIHU</v>
          </cell>
          <cell r="I20">
            <v>4.3478260869565216E-2</v>
          </cell>
        </row>
        <row r="21">
          <cell r="C21" t="str">
            <v>HERNANDEZ PERALES JOSUE GERARDO</v>
          </cell>
          <cell r="I21">
            <v>0.95652173913043481</v>
          </cell>
        </row>
        <row r="22">
          <cell r="C22" t="str">
            <v>HERNANDEZ TOVAR YOSELIN</v>
          </cell>
          <cell r="I22">
            <v>1</v>
          </cell>
        </row>
        <row r="23">
          <cell r="C23" t="str">
            <v>HERNÁNDEZ LÓPEZ SOFÍA</v>
          </cell>
          <cell r="I23">
            <v>0.73913043478260865</v>
          </cell>
        </row>
        <row r="24">
          <cell r="C24" t="str">
            <v>LAZARO RODRIGUEZ VICTOR RAFAEL</v>
          </cell>
          <cell r="I24">
            <v>0.82608695652173914</v>
          </cell>
        </row>
        <row r="25">
          <cell r="C25" t="str">
            <v>MARTINEZ DAVILA ALEXANDER</v>
          </cell>
          <cell r="I25">
            <v>4.3478260869565216E-2</v>
          </cell>
        </row>
        <row r="26">
          <cell r="C26" t="str">
            <v>MATEHUALA TOVAR ALAN LEONARDO</v>
          </cell>
          <cell r="I26">
            <v>0.91304347826086951</v>
          </cell>
        </row>
        <row r="27">
          <cell r="C27" t="str">
            <v>MICHAUS MORENO MIGUEL ALEXANDER</v>
          </cell>
          <cell r="I27">
            <v>1</v>
          </cell>
        </row>
        <row r="28">
          <cell r="C28" t="str">
            <v>MORALES MARTÍNEZ DIEGO</v>
          </cell>
          <cell r="I28">
            <v>0.82608695652173914</v>
          </cell>
        </row>
        <row r="29">
          <cell r="C29" t="str">
            <v>PANTOJA CRISTALES SOFÍA</v>
          </cell>
          <cell r="I29">
            <v>0.95652173913043481</v>
          </cell>
        </row>
        <row r="30">
          <cell r="C30" t="str">
            <v>RAMÍREZ SALINAS JUAN</v>
          </cell>
          <cell r="I30">
            <v>0.52380952380952384</v>
          </cell>
        </row>
        <row r="31">
          <cell r="C31" t="str">
            <v>RODRÍGUEZ MÁRQUEZ DANIEL</v>
          </cell>
          <cell r="I31">
            <v>4.3478260869565216E-2</v>
          </cell>
        </row>
        <row r="32">
          <cell r="C32" t="str">
            <v>ROSALES AGUILAR DIEGO ALONSO</v>
          </cell>
          <cell r="I32">
            <v>4.3478260869565216E-2</v>
          </cell>
        </row>
        <row r="33">
          <cell r="C33" t="str">
            <v>ROSALES ALDANA VALERIA AMELI</v>
          </cell>
          <cell r="I33">
            <v>0.86956521739130432</v>
          </cell>
        </row>
        <row r="34">
          <cell r="C34" t="str">
            <v>SOTO JAIMES CRISTOPHER ASAEL</v>
          </cell>
          <cell r="I34">
            <v>0.60869565217391308</v>
          </cell>
        </row>
        <row r="35">
          <cell r="C35" t="str">
            <v>TREJO RODRIGUEZ BRIAN GUSTAVO</v>
          </cell>
          <cell r="I35">
            <v>4.3478260869565216E-2</v>
          </cell>
        </row>
        <row r="36">
          <cell r="C36" t="str">
            <v>VEGA FERRUSCA DIEGO EFREN</v>
          </cell>
          <cell r="I36">
            <v>0.91304347826086951</v>
          </cell>
        </row>
      </sheetData>
      <sheetData sheetId="2">
        <row r="1">
          <cell r="C1" t="str">
            <v>MATERIA: CÁLCULO INTEGRAL (ACF0902)</v>
          </cell>
        </row>
        <row r="2">
          <cell r="C2" t="str">
            <v>NOMBRE ALUMNO</v>
          </cell>
          <cell r="J2" t="str">
            <v>Asistencias</v>
          </cell>
        </row>
        <row r="3">
          <cell r="C3" t="str">
            <v>AGUILAR RAMOS DANIELA</v>
          </cell>
          <cell r="J3">
            <v>6.6666666666666666E-2</v>
          </cell>
        </row>
        <row r="4">
          <cell r="C4" t="str">
            <v>ALARCÓN RAMIREZ ALAN</v>
          </cell>
          <cell r="J4">
            <v>1</v>
          </cell>
        </row>
        <row r="5">
          <cell r="C5" t="str">
            <v>AYALA TAPIA ROBERTA</v>
          </cell>
          <cell r="J5">
            <v>1</v>
          </cell>
        </row>
        <row r="6">
          <cell r="C6" t="str">
            <v>BARRIOS GONZÁLEZ CARLOS EMILIO</v>
          </cell>
          <cell r="J6">
            <v>0.93333333333333335</v>
          </cell>
        </row>
        <row r="7">
          <cell r="C7" t="str">
            <v>CARDENAS ALVAREZ JOCELYN</v>
          </cell>
          <cell r="J7">
            <v>1</v>
          </cell>
        </row>
        <row r="8">
          <cell r="C8" t="str">
            <v>CASTRO BORGES RICARDO JOSE</v>
          </cell>
          <cell r="J8">
            <v>0.93333333333333335</v>
          </cell>
        </row>
        <row r="9">
          <cell r="C9" t="str">
            <v>CHAVEZ GARCIA JOSE JAHEL</v>
          </cell>
          <cell r="J9">
            <v>1</v>
          </cell>
        </row>
        <row r="10">
          <cell r="C10" t="str">
            <v>DURAN BARROSO CHRISTOFER</v>
          </cell>
          <cell r="J10">
            <v>0.8666666666666667</v>
          </cell>
        </row>
        <row r="11">
          <cell r="C11" t="str">
            <v>FRANCO CORREA LUIS RICARDO</v>
          </cell>
          <cell r="J11">
            <v>1</v>
          </cell>
        </row>
        <row r="12">
          <cell r="C12" t="str">
            <v>GRANDE HERNÁNDEZ ALEXIS YAMIL</v>
          </cell>
          <cell r="J12">
            <v>0.8666666666666667</v>
          </cell>
        </row>
        <row r="13">
          <cell r="C13" t="str">
            <v>HERNANDEZ ESPINO ANA LILIA</v>
          </cell>
          <cell r="J13">
            <v>6.6666666666666666E-2</v>
          </cell>
        </row>
        <row r="14">
          <cell r="C14" t="str">
            <v>HERNANDEZ GONZALEZ FATIMA</v>
          </cell>
          <cell r="J14">
            <v>1</v>
          </cell>
        </row>
        <row r="15">
          <cell r="C15" t="str">
            <v>HERNANDEZ OLVERA ABIGAIL</v>
          </cell>
          <cell r="J15">
            <v>1</v>
          </cell>
        </row>
        <row r="16">
          <cell r="C16" t="str">
            <v>HERNANDEZ PEREZ KIARA SUJEY</v>
          </cell>
          <cell r="J16">
            <v>6.6666666666666666E-2</v>
          </cell>
        </row>
        <row r="17">
          <cell r="C17" t="str">
            <v>HIGAREDA HERNÁNDEZ ALAN</v>
          </cell>
          <cell r="J17">
            <v>1</v>
          </cell>
        </row>
        <row r="18">
          <cell r="C18" t="str">
            <v>JIMENEZ GONZALEZ DIEGO RAFAEL</v>
          </cell>
          <cell r="J18">
            <v>1</v>
          </cell>
        </row>
        <row r="19">
          <cell r="C19" t="str">
            <v>LARA CUELLAR OSCAR JESUS</v>
          </cell>
          <cell r="J19">
            <v>1</v>
          </cell>
        </row>
        <row r="20">
          <cell r="C20" t="str">
            <v>MARTÍNEZ CRISTÓBAL JUAN FRANCISCO</v>
          </cell>
          <cell r="J20">
            <v>0.93333333333333335</v>
          </cell>
        </row>
        <row r="21">
          <cell r="C21" t="str">
            <v>MATAMOROS CAMACHO CARLO ISAAC</v>
          </cell>
          <cell r="J21">
            <v>1</v>
          </cell>
        </row>
        <row r="22">
          <cell r="C22" t="str">
            <v>MORALES GARCÍA EDER ALEJANDRO</v>
          </cell>
          <cell r="J22">
            <v>1</v>
          </cell>
        </row>
        <row r="23">
          <cell r="C23" t="str">
            <v>NÚÑEZ PÉREZ RICARDO</v>
          </cell>
          <cell r="J23">
            <v>1</v>
          </cell>
        </row>
        <row r="24">
          <cell r="C24" t="str">
            <v>PEREZ VEGA ITZEL</v>
          </cell>
          <cell r="J24">
            <v>1</v>
          </cell>
        </row>
        <row r="25">
          <cell r="C25" t="str">
            <v>PÉREZ BAUTISTA AXEL IVÁN</v>
          </cell>
          <cell r="J25">
            <v>0.2</v>
          </cell>
        </row>
        <row r="26">
          <cell r="C26" t="str">
            <v>ROSADO MARTÍNEZ CHRISTIAN</v>
          </cell>
          <cell r="J26">
            <v>1</v>
          </cell>
        </row>
        <row r="27">
          <cell r="C27" t="str">
            <v>SALINAS ARREDONDO CARLOS ABNER</v>
          </cell>
          <cell r="J27">
            <v>0.8666666666666667</v>
          </cell>
        </row>
        <row r="28">
          <cell r="C28" t="str">
            <v>SIERRA SANCHEZ HÉCTOR GUSTAVO</v>
          </cell>
          <cell r="J28">
            <v>0.8666666666666667</v>
          </cell>
        </row>
        <row r="29">
          <cell r="C29" t="str">
            <v>TAPIA BECERRIL JUAN CARLOS</v>
          </cell>
          <cell r="J29">
            <v>0.93333333333333335</v>
          </cell>
        </row>
        <row r="30">
          <cell r="C30" t="str">
            <v>TOVAR FONSECA LUIS ANGEL</v>
          </cell>
          <cell r="J30">
            <v>1</v>
          </cell>
        </row>
        <row r="31">
          <cell r="C31" t="str">
            <v>TREJO MURILLO LUIS ARTURO</v>
          </cell>
          <cell r="J31">
            <v>0.93333333333333335</v>
          </cell>
        </row>
        <row r="32">
          <cell r="C32" t="str">
            <v>VARGAS MARTINEZ YERED</v>
          </cell>
          <cell r="J32">
            <v>0.13333333333333333</v>
          </cell>
        </row>
        <row r="33">
          <cell r="C33" t="str">
            <v>VEGA GUALITO DANIEL FRANCISCO</v>
          </cell>
          <cell r="J33">
            <v>6.6666666666666666E-2</v>
          </cell>
        </row>
        <row r="34">
          <cell r="C34" t="str">
            <v>VELAZQUEZ ALVAREZ JESUS EDUARDO</v>
          </cell>
          <cell r="J34">
            <v>0.46666666666666667</v>
          </cell>
        </row>
        <row r="35">
          <cell r="C35" t="str">
            <v>VELÁZQUEZ GONZÁLEZ ASIEL</v>
          </cell>
          <cell r="J35">
            <v>0.66666666666666663</v>
          </cell>
        </row>
        <row r="36">
          <cell r="C36" t="str">
            <v>ZÚÑIGA MOYA JOSÉ MARÍA</v>
          </cell>
          <cell r="J36">
            <v>0.7142857142857143</v>
          </cell>
        </row>
      </sheetData>
      <sheetData sheetId="3">
        <row r="7">
          <cell r="C7"/>
        </row>
        <row r="9">
          <cell r="C9" t="str">
            <v>NOMBRE ALUMNO</v>
          </cell>
          <cell r="H9" t="str">
            <v>Asistencias</v>
          </cell>
        </row>
        <row r="10">
          <cell r="C10" t="str">
            <v>ALBA REYES JOSÉ RODRIGO</v>
          </cell>
          <cell r="H10">
            <v>0.68181818181818177</v>
          </cell>
        </row>
        <row r="11">
          <cell r="C11" t="str">
            <v>CAMARENA PICHARDO SEBASTIAN</v>
          </cell>
          <cell r="H11">
            <v>0</v>
          </cell>
        </row>
        <row r="12">
          <cell r="C12" t="str">
            <v>CASTILLO SANCHEZ MARIA GUADALUPE</v>
          </cell>
          <cell r="H12">
            <v>0.56521739130434778</v>
          </cell>
        </row>
        <row r="13">
          <cell r="C13" t="str">
            <v>CRUZ OLVERA ERICK EMMANUEL</v>
          </cell>
          <cell r="H13">
            <v>0.72727272727272729</v>
          </cell>
        </row>
        <row r="14">
          <cell r="C14" t="str">
            <v>DURAN BARROSO CHRISTOFER</v>
          </cell>
          <cell r="H14">
            <v>0.91304347826086951</v>
          </cell>
        </row>
        <row r="15">
          <cell r="C15" t="str">
            <v>GASTELUM MOLINA CAMILA FERNANDA</v>
          </cell>
          <cell r="H15">
            <v>0</v>
          </cell>
        </row>
        <row r="16">
          <cell r="C16" t="str">
            <v>GONZALEZ DIAZ SILVIA LILIANA</v>
          </cell>
          <cell r="H16">
            <v>0.73913043478260865</v>
          </cell>
        </row>
        <row r="17">
          <cell r="C17" t="str">
            <v>GONZÁLEZ CONTRERAS JULIÁN</v>
          </cell>
          <cell r="H17">
            <v>0</v>
          </cell>
        </row>
        <row r="18">
          <cell r="C18" t="str">
            <v>GUERRERO HERNANDEZ ZAID TADEO</v>
          </cell>
          <cell r="H18">
            <v>0.69565217391304346</v>
          </cell>
        </row>
        <row r="19">
          <cell r="C19" t="str">
            <v>HERNANDEZ HURTADO ANA CECILIA</v>
          </cell>
          <cell r="H19">
            <v>0.69565217391304346</v>
          </cell>
        </row>
        <row r="20">
          <cell r="C20" t="str">
            <v>HERNANDEZ VALDESPINO CARLOS EDUARDO</v>
          </cell>
          <cell r="H20">
            <v>0.22727272727272727</v>
          </cell>
        </row>
        <row r="21">
          <cell r="C21" t="str">
            <v>HERNÁNDEZ GÓMEZ ASHLEY SAMARA</v>
          </cell>
          <cell r="H21">
            <v>0</v>
          </cell>
        </row>
        <row r="22">
          <cell r="C22" t="str">
            <v>LOARCA HERNANDEZ CHRISTOPHER</v>
          </cell>
          <cell r="H22">
            <v>0.2608695652173913</v>
          </cell>
        </row>
        <row r="23">
          <cell r="C23" t="str">
            <v>LOPEZ ORTIZ ANGEL AMAURY</v>
          </cell>
          <cell r="H23">
            <v>0</v>
          </cell>
        </row>
        <row r="24">
          <cell r="C24" t="str">
            <v>LOYA TAFOLLA LUIS FERNANDO</v>
          </cell>
          <cell r="H24">
            <v>0.78260869565217395</v>
          </cell>
        </row>
        <row r="25">
          <cell r="C25" t="str">
            <v>MARTIN DEL CAMPO NOBLE ALDO</v>
          </cell>
          <cell r="H25">
            <v>0.2608695652173913</v>
          </cell>
        </row>
        <row r="26">
          <cell r="C26" t="str">
            <v>MARTINEZ VILLANUEVA EMILIO</v>
          </cell>
          <cell r="H26">
            <v>0.78260869565217395</v>
          </cell>
        </row>
        <row r="27">
          <cell r="C27" t="str">
            <v>MEDINA VAZQUEZ DONOVAN JAVIER</v>
          </cell>
          <cell r="H27">
            <v>0.82608695652173914</v>
          </cell>
        </row>
        <row r="28">
          <cell r="C28" t="str">
            <v>MICHAUS MORENO MIGUEL ALEXANDER</v>
          </cell>
          <cell r="H28">
            <v>0.78260869565217395</v>
          </cell>
        </row>
        <row r="29">
          <cell r="C29" t="str">
            <v>PALMA NUÑEZ JORGE ARMANDO</v>
          </cell>
          <cell r="H29">
            <v>0.78260869565217395</v>
          </cell>
        </row>
        <row r="30">
          <cell r="C30" t="str">
            <v>RAMIREZ OSORNIO LUIS EDUARDO</v>
          </cell>
          <cell r="H30">
            <v>0.2608695652173913</v>
          </cell>
        </row>
        <row r="31">
          <cell r="C31" t="str">
            <v>RANGEL BARRON YOVANI</v>
          </cell>
          <cell r="H31">
            <v>0.82608695652173914</v>
          </cell>
        </row>
        <row r="32">
          <cell r="C32" t="str">
            <v>RAZO CALDERÓN ESTEFANÍA</v>
          </cell>
          <cell r="H32">
            <v>0.78260869565217395</v>
          </cell>
        </row>
        <row r="33">
          <cell r="C33" t="str">
            <v>REVUELTA ARREDONDO ALBERTO</v>
          </cell>
          <cell r="H33">
            <v>0.56521739130434778</v>
          </cell>
        </row>
        <row r="34">
          <cell r="C34" t="str">
            <v>RICO ORTIZ ANDREA MONTSERRAT</v>
          </cell>
          <cell r="H34">
            <v>0.2608695652173913</v>
          </cell>
        </row>
        <row r="35">
          <cell r="C35" t="str">
            <v>ROJAS BADILLO EMILIO</v>
          </cell>
          <cell r="H35">
            <v>0.78260869565217395</v>
          </cell>
        </row>
        <row r="36">
          <cell r="C36" t="str">
            <v>RUBIO MOLINA OCIEL SAÚL</v>
          </cell>
          <cell r="H36">
            <v>0.78260869565217395</v>
          </cell>
        </row>
        <row r="37">
          <cell r="C37" t="str">
            <v>RUEDA HERRERA GABRIEL</v>
          </cell>
          <cell r="H37">
            <v>0.2608695652173913</v>
          </cell>
        </row>
        <row r="38">
          <cell r="C38" t="str">
            <v>SILVA PEREZ ERICK MANUEL</v>
          </cell>
          <cell r="H38">
            <v>0.78260869565217395</v>
          </cell>
        </row>
        <row r="39">
          <cell r="C39" t="str">
            <v>SORIA MIRANDA EFRAÍN</v>
          </cell>
          <cell r="H39">
            <v>0.78260869565217395</v>
          </cell>
        </row>
        <row r="40">
          <cell r="C40" t="str">
            <v>SORIANO PEREZ NATALIA</v>
          </cell>
          <cell r="H40">
            <v>0.2608695652173913</v>
          </cell>
        </row>
      </sheetData>
      <sheetData sheetId="4">
        <row r="1">
          <cell r="C1" t="str">
            <v>MATERIA: CÁLCULO DIFERENCIAL (ACF2301)</v>
          </cell>
        </row>
        <row r="2">
          <cell r="C2" t="str">
            <v>NOMBRE ALUMNO</v>
          </cell>
          <cell r="I2" t="str">
            <v>Asistencias</v>
          </cell>
        </row>
        <row r="3">
          <cell r="C3" t="str">
            <v>AGUADO MORALES LEONARDO MICHEL</v>
          </cell>
          <cell r="I3">
            <v>0.8666666666666667</v>
          </cell>
        </row>
        <row r="4">
          <cell r="C4" t="str">
            <v>ALEGRÍA SÁNCHEZ JOSELIN</v>
          </cell>
          <cell r="I4">
            <v>1</v>
          </cell>
        </row>
        <row r="5">
          <cell r="C5" t="str">
            <v>ARENAS DE LA ROSA AMAURY JAFET</v>
          </cell>
          <cell r="I5">
            <v>1</v>
          </cell>
        </row>
        <row r="6">
          <cell r="C6" t="str">
            <v>BARCENAS JIMENEZ JOSE IVAN</v>
          </cell>
          <cell r="I6">
            <v>1</v>
          </cell>
        </row>
        <row r="7">
          <cell r="C7" t="str">
            <v>CADENA IGLESIAS ALONSO</v>
          </cell>
          <cell r="I7">
            <v>1</v>
          </cell>
        </row>
        <row r="8">
          <cell r="C8" t="str">
            <v>CRUZ BALTAZAR GUILLERMO JESUS</v>
          </cell>
          <cell r="I8">
            <v>1</v>
          </cell>
        </row>
        <row r="9">
          <cell r="C9" t="str">
            <v>DIAZ VALDEZ MARISOL</v>
          </cell>
          <cell r="I9">
            <v>1</v>
          </cell>
        </row>
        <row r="10">
          <cell r="C10" t="str">
            <v>ESTRADA JUAREZ ANDREA</v>
          </cell>
          <cell r="I10">
            <v>1</v>
          </cell>
        </row>
        <row r="11">
          <cell r="C11" t="str">
            <v>FERRUSCA RODRÍGUEZ MARÍA EMILIA</v>
          </cell>
          <cell r="I11">
            <v>1</v>
          </cell>
        </row>
        <row r="12">
          <cell r="C12" t="str">
            <v>FRAGA MORALES JESSICA</v>
          </cell>
          <cell r="I12">
            <v>0.8</v>
          </cell>
        </row>
        <row r="13">
          <cell r="C13" t="str">
            <v>GARCIA URIBE ALAN DANIEL</v>
          </cell>
          <cell r="I13">
            <v>1</v>
          </cell>
        </row>
        <row r="14">
          <cell r="C14" t="str">
            <v>GARCÍA MEJÍA JOCELYN VALERIA</v>
          </cell>
          <cell r="I14">
            <v>0.93333333333333335</v>
          </cell>
        </row>
        <row r="15">
          <cell r="C15" t="str">
            <v>GODOY GUILLÉN XIMENA</v>
          </cell>
          <cell r="I15">
            <v>1</v>
          </cell>
        </row>
        <row r="16">
          <cell r="C16" t="str">
            <v>HERNANDEZ CRUZ PAUL MATEO</v>
          </cell>
          <cell r="I16">
            <v>1</v>
          </cell>
        </row>
        <row r="17">
          <cell r="C17" t="str">
            <v>HERNÁNDEZ HERNÁNDEZ CAMILA</v>
          </cell>
          <cell r="I17">
            <v>1</v>
          </cell>
        </row>
        <row r="18">
          <cell r="C18" t="str">
            <v>HERNÁNDEZ MÁRQUEZ JESÚS JHONY</v>
          </cell>
          <cell r="I18">
            <v>0.9285714285714286</v>
          </cell>
        </row>
        <row r="19">
          <cell r="C19" t="str">
            <v>LEDESMA HERRERA DULCE MARIANA</v>
          </cell>
          <cell r="I19">
            <v>1</v>
          </cell>
        </row>
        <row r="20">
          <cell r="C20" t="str">
            <v>LUNA LUNA JUAN JOSÉ</v>
          </cell>
          <cell r="I20">
            <v>1</v>
          </cell>
        </row>
        <row r="21">
          <cell r="C21" t="str">
            <v>MALDONADO LEDESMA PAOLA</v>
          </cell>
          <cell r="I21">
            <v>1</v>
          </cell>
        </row>
        <row r="22">
          <cell r="C22" t="str">
            <v>MONTES MARTINEZ RICARDO</v>
          </cell>
          <cell r="I22">
            <v>1</v>
          </cell>
        </row>
        <row r="23">
          <cell r="C23" t="str">
            <v>PALACIOS RIVERA MELANIE VALERIA</v>
          </cell>
          <cell r="I23">
            <v>1</v>
          </cell>
        </row>
        <row r="24">
          <cell r="C24" t="str">
            <v>PAREDES MORENO CÉSAR JACOB</v>
          </cell>
          <cell r="I24">
            <v>1</v>
          </cell>
        </row>
        <row r="25">
          <cell r="C25" t="str">
            <v>PEREZ GUERRERO CITLALI</v>
          </cell>
          <cell r="I25">
            <v>1</v>
          </cell>
        </row>
        <row r="26">
          <cell r="C26" t="str">
            <v>PEREZ TINAJERO JESSICA ALEJANDRA</v>
          </cell>
          <cell r="I26">
            <v>1</v>
          </cell>
        </row>
        <row r="27">
          <cell r="C27" t="str">
            <v>RAMÍREZ FLORES VANESSA</v>
          </cell>
          <cell r="I27">
            <v>0</v>
          </cell>
        </row>
        <row r="28">
          <cell r="C28" t="str">
            <v>RODRIGUEZ MONTES ITZEL LOURDES</v>
          </cell>
          <cell r="I28">
            <v>1</v>
          </cell>
        </row>
        <row r="29">
          <cell r="C29" t="str">
            <v>SALINAS GUDIÑO CHRISTOPHER DAVID</v>
          </cell>
          <cell r="I29">
            <v>1</v>
          </cell>
        </row>
        <row r="30">
          <cell r="C30" t="str">
            <v>SUAREZ SORIA JUAN ADRIEL</v>
          </cell>
          <cell r="I30">
            <v>1</v>
          </cell>
        </row>
        <row r="31">
          <cell r="C31" t="str">
            <v>SÁNCHEZ JIMÉNEZ OSWALDO</v>
          </cell>
          <cell r="I31">
            <v>1</v>
          </cell>
        </row>
        <row r="32">
          <cell r="C32" t="str">
            <v>TEODOSIO JIMENEZ ROXANA</v>
          </cell>
          <cell r="I32">
            <v>1</v>
          </cell>
        </row>
        <row r="33">
          <cell r="C33" t="str">
            <v>TREJO RODRÍGUEZ CAROL MELISSA</v>
          </cell>
          <cell r="I33">
            <v>1</v>
          </cell>
        </row>
        <row r="34">
          <cell r="C34" t="str">
            <v>VARGAS SUAREZ RODRIGO</v>
          </cell>
          <cell r="I34">
            <v>1</v>
          </cell>
        </row>
      </sheetData>
      <sheetData sheetId="5">
        <row r="1">
          <cell r="C1" t="str">
            <v>MATERIA: CÁLCULO DIFERENCIAL (ACF2301)</v>
          </cell>
        </row>
        <row r="2">
          <cell r="C2" t="str">
            <v>NOMBRE ALUMNO</v>
          </cell>
          <cell r="J2" t="str">
            <v>Asistencias</v>
          </cell>
        </row>
        <row r="3">
          <cell r="C3" t="str">
            <v>ATANACIO MARTÍNEZ CRISTIAN URIEL</v>
          </cell>
          <cell r="J3">
            <v>1</v>
          </cell>
        </row>
        <row r="4">
          <cell r="C4" t="str">
            <v>AVILA REGALADO HELEN</v>
          </cell>
          <cell r="J4">
            <v>1</v>
          </cell>
        </row>
        <row r="5">
          <cell r="C5" t="str">
            <v>CAMACHO ROBLES ATALIA</v>
          </cell>
          <cell r="J5">
            <v>0.9285714285714286</v>
          </cell>
        </row>
        <row r="6">
          <cell r="C6" t="str">
            <v>CRUZ LEON BERNARDO GAEL</v>
          </cell>
          <cell r="J6">
            <v>1</v>
          </cell>
        </row>
        <row r="7">
          <cell r="C7" t="str">
            <v>DE JESÚS LEÓN EVELYN JOCELYN</v>
          </cell>
          <cell r="J7">
            <v>1</v>
          </cell>
        </row>
        <row r="8">
          <cell r="C8" t="str">
            <v>DUARTE NORBERTO ALISON JOCELYN</v>
          </cell>
          <cell r="J8">
            <v>1</v>
          </cell>
        </row>
        <row r="9">
          <cell r="C9" t="str">
            <v>ESTRADA LEÓN EDUARDO DANIEL</v>
          </cell>
          <cell r="J9">
            <v>1</v>
          </cell>
        </row>
        <row r="10">
          <cell r="C10" t="str">
            <v>FEREGRINO LÓPEZ WENDY MELANY</v>
          </cell>
          <cell r="J10">
            <v>1</v>
          </cell>
        </row>
        <row r="11">
          <cell r="C11" t="str">
            <v>GARCIA GARCIA DIEGO MOISES</v>
          </cell>
          <cell r="J11">
            <v>1</v>
          </cell>
        </row>
        <row r="12">
          <cell r="C12" t="str">
            <v>GONZALEZ TREJO SERGIO YAREL</v>
          </cell>
          <cell r="J12">
            <v>0.9285714285714286</v>
          </cell>
        </row>
        <row r="13">
          <cell r="C13" t="str">
            <v>HERNANDEZ OSORNIO LEONARDO</v>
          </cell>
          <cell r="J13">
            <v>1</v>
          </cell>
        </row>
        <row r="14">
          <cell r="C14" t="str">
            <v>HERNÁNDEZ MENDONCA YHEYRIMAR STEFANY</v>
          </cell>
          <cell r="J14">
            <v>1</v>
          </cell>
        </row>
        <row r="15">
          <cell r="C15" t="str">
            <v>JIMÉNEZ SIMENTAL CRISTIAN</v>
          </cell>
          <cell r="J15">
            <v>1</v>
          </cell>
        </row>
        <row r="16">
          <cell r="C16" t="str">
            <v>LOPEZ ESCOBEDO GERARDO</v>
          </cell>
          <cell r="J16">
            <v>1</v>
          </cell>
        </row>
        <row r="17">
          <cell r="C17" t="str">
            <v>LOPEZ GONZALEZ CHRISTIAN DANIEL</v>
          </cell>
          <cell r="J17">
            <v>1</v>
          </cell>
        </row>
        <row r="18">
          <cell r="C18" t="str">
            <v>LUNA LUNA DIANA MAYTE</v>
          </cell>
          <cell r="J18">
            <v>0</v>
          </cell>
        </row>
        <row r="19">
          <cell r="C19" t="str">
            <v>LUNA VELAZQUEZ ITZEL VALERIA</v>
          </cell>
          <cell r="J19">
            <v>1</v>
          </cell>
        </row>
        <row r="20">
          <cell r="C20" t="str">
            <v>LÓPEZ URIBE JOSÉ MANUEL</v>
          </cell>
          <cell r="J20">
            <v>1</v>
          </cell>
        </row>
        <row r="21">
          <cell r="C21" t="str">
            <v>MARTINEZ RESENDIZ JOSE ALEJANDRO</v>
          </cell>
          <cell r="J21">
            <v>1</v>
          </cell>
        </row>
        <row r="22">
          <cell r="C22" t="str">
            <v>MEDINA ALVAREZ ANA ISABEL</v>
          </cell>
          <cell r="J22">
            <v>1</v>
          </cell>
        </row>
        <row r="23">
          <cell r="C23" t="str">
            <v>MENA PEREZ KENYA NATALLY</v>
          </cell>
          <cell r="J23">
            <v>1</v>
          </cell>
        </row>
        <row r="24">
          <cell r="C24" t="str">
            <v>MENDOZA PALACIOS DIEGO</v>
          </cell>
          <cell r="J24">
            <v>1</v>
          </cell>
        </row>
        <row r="25">
          <cell r="C25" t="str">
            <v>OLVERA CAMACHO JOSE LEONARDO</v>
          </cell>
          <cell r="J25">
            <v>1</v>
          </cell>
        </row>
        <row r="26">
          <cell r="C26" t="str">
            <v>ORTIZ BAUTISTA JESUS</v>
          </cell>
          <cell r="J26">
            <v>1</v>
          </cell>
        </row>
        <row r="27">
          <cell r="C27" t="str">
            <v>PEÑATE SÁNCHEZ JULISSA</v>
          </cell>
          <cell r="J27">
            <v>0.9285714285714286</v>
          </cell>
        </row>
        <row r="28">
          <cell r="C28" t="str">
            <v>RAMIREZ DE DIOS MONSERRAT ALEJANDRA</v>
          </cell>
          <cell r="J28">
            <v>0.5</v>
          </cell>
        </row>
        <row r="29">
          <cell r="C29" t="str">
            <v>RAMIREZ ORTIZ MARIA DE LOS ANGELES</v>
          </cell>
          <cell r="J29">
            <v>0.92307692307692313</v>
          </cell>
        </row>
        <row r="30">
          <cell r="C30" t="str">
            <v>RANGEL SERVIN BETSAIDA</v>
          </cell>
          <cell r="J30">
            <v>1</v>
          </cell>
        </row>
        <row r="31">
          <cell r="C31" t="str">
            <v>RIVERA PUGA AXEL JAVAN</v>
          </cell>
          <cell r="J31">
            <v>1</v>
          </cell>
        </row>
        <row r="32">
          <cell r="C32" t="str">
            <v>RODRÍGUEZ IBARRA ÁNGEL</v>
          </cell>
          <cell r="J32">
            <v>1</v>
          </cell>
        </row>
        <row r="33">
          <cell r="C33" t="str">
            <v>ROSAS HERNÁNDEZ FRANCISCO</v>
          </cell>
          <cell r="J33">
            <v>0.9285714285714286</v>
          </cell>
        </row>
        <row r="34">
          <cell r="C34" t="str">
            <v>SANCHEZ SANCHEZ EMILIO</v>
          </cell>
          <cell r="J34">
            <v>0.8571428571428571</v>
          </cell>
        </row>
        <row r="35">
          <cell r="C35" t="str">
            <v>SOLÍS DURÁN CÉSAR</v>
          </cell>
          <cell r="J35">
            <v>1</v>
          </cell>
        </row>
        <row r="36">
          <cell r="C36" t="str">
            <v>TOLEDANO FLORES HELENA</v>
          </cell>
          <cell r="J36">
            <v>1</v>
          </cell>
        </row>
        <row r="37">
          <cell r="C37" t="str">
            <v>VENTURA PEREZ ABIGAIL</v>
          </cell>
          <cell r="J37">
            <v>1</v>
          </cell>
        </row>
        <row r="38">
          <cell r="C38" t="str">
            <v>YAÑEZ MALDONADO FRANCISCO DE JESÚS</v>
          </cell>
          <cell r="J38">
            <v>1</v>
          </cell>
        </row>
        <row r="39">
          <cell r="C39" t="str">
            <v>YAÑEZ MONTERO SIMON</v>
          </cell>
          <cell r="J39">
            <v>0.5</v>
          </cell>
        </row>
        <row r="40">
          <cell r="C40" t="str">
            <v>CRUZ MARTINEZ IVAN</v>
          </cell>
          <cell r="J40">
            <v>0.5</v>
          </cell>
        </row>
      </sheetData>
      <sheetData sheetId="6">
        <row r="1">
          <cell r="C1" t="str">
            <v>MATERIA: CÁLCULO DIFERENCIAL (ACF2301)</v>
          </cell>
        </row>
        <row r="2">
          <cell r="C2" t="str">
            <v>NOMBRE ALUMNO</v>
          </cell>
          <cell r="I2" t="str">
            <v>Asistencias</v>
          </cell>
        </row>
        <row r="3">
          <cell r="C3" t="str">
            <v>BAHENA CERINO ALAN ROGELIO</v>
          </cell>
          <cell r="I3">
            <v>0</v>
          </cell>
        </row>
        <row r="4">
          <cell r="C4" t="str">
            <v>BASALDUA CHAVEZ LUIS ABDIEL</v>
          </cell>
          <cell r="I4">
            <v>1</v>
          </cell>
        </row>
        <row r="5">
          <cell r="C5" t="str">
            <v>CELESTINO GARCÍA HERMIONE GUADALUPE</v>
          </cell>
          <cell r="I5">
            <v>1</v>
          </cell>
        </row>
        <row r="6">
          <cell r="C6" t="str">
            <v>CISNEROS KIGAKU ZHION</v>
          </cell>
          <cell r="I6">
            <v>1</v>
          </cell>
        </row>
        <row r="7">
          <cell r="C7" t="str">
            <v>DÍAZ GUTIÉRREZ EDUARDO</v>
          </cell>
          <cell r="I7">
            <v>1</v>
          </cell>
        </row>
        <row r="8">
          <cell r="C8" t="str">
            <v>ECHEVERRIA ALVAREZ ANTONIO ELIAS</v>
          </cell>
          <cell r="I8">
            <v>1</v>
          </cell>
        </row>
        <row r="9">
          <cell r="C9" t="str">
            <v>FLORES CERRILLO ARELY ITZEL</v>
          </cell>
          <cell r="I9">
            <v>1</v>
          </cell>
        </row>
        <row r="10">
          <cell r="C10" t="str">
            <v>GARCÍA LEAL VLADIMIR</v>
          </cell>
          <cell r="I10">
            <v>0</v>
          </cell>
        </row>
        <row r="11">
          <cell r="C11" t="str">
            <v>HERNANDEZ SANCHEZ OSCAR DANIEL</v>
          </cell>
          <cell r="I11">
            <v>1</v>
          </cell>
        </row>
        <row r="12">
          <cell r="C12" t="str">
            <v>JIMÉNEZ MAGOS EMILIANO</v>
          </cell>
          <cell r="I12">
            <v>1</v>
          </cell>
        </row>
        <row r="13">
          <cell r="C13" t="str">
            <v>LAVOIGNET RAMIREZ ALEJANDRO</v>
          </cell>
          <cell r="I13">
            <v>1</v>
          </cell>
        </row>
        <row r="14">
          <cell r="C14" t="str">
            <v>MIRANDA SIQUEIROS VICTOR DANIEL</v>
          </cell>
          <cell r="I14">
            <v>1</v>
          </cell>
        </row>
        <row r="15">
          <cell r="C15" t="str">
            <v>PEREZ CORONILLA GABRIEL ALFREDO</v>
          </cell>
          <cell r="I15">
            <v>0</v>
          </cell>
        </row>
        <row r="16">
          <cell r="C16" t="str">
            <v>RAMOS FRANCISCO DESERET</v>
          </cell>
          <cell r="I16">
            <v>1</v>
          </cell>
        </row>
        <row r="17">
          <cell r="C17" t="str">
            <v>RAYAS TIRADO JOSÉ ARMANDO</v>
          </cell>
          <cell r="I17">
            <v>0</v>
          </cell>
        </row>
        <row r="18">
          <cell r="C18" t="str">
            <v>RIVERA PEREZ DAVID AZARIEL</v>
          </cell>
          <cell r="I18">
            <v>1</v>
          </cell>
        </row>
        <row r="19">
          <cell r="C19" t="str">
            <v>RUIZ TOLEDO SELENE JOCELYN</v>
          </cell>
          <cell r="I19">
            <v>1</v>
          </cell>
        </row>
        <row r="20">
          <cell r="C20" t="str">
            <v>TEJADA MENDEZ ROBERTO ISMAEL</v>
          </cell>
          <cell r="I20">
            <v>1</v>
          </cell>
        </row>
        <row r="21">
          <cell r="C21" t="str">
            <v>VARGAS RICO OSVALDO DANIEL</v>
          </cell>
          <cell r="I21">
            <v>0</v>
          </cell>
        </row>
        <row r="22">
          <cell r="C22" t="str">
            <v>VELAZQUEZ ORTIZ JAVIER ISAAC</v>
          </cell>
          <cell r="I22">
            <v>1</v>
          </cell>
        </row>
        <row r="23">
          <cell r="C23" t="str">
            <v>VILLAFAÑA CARBAJAL DIEGO</v>
          </cell>
          <cell r="I23">
            <v>1</v>
          </cell>
        </row>
        <row r="24">
          <cell r="C24" t="str">
            <v>VILLANUEVA  SAMUEL</v>
          </cell>
          <cell r="I24">
            <v>1</v>
          </cell>
        </row>
        <row r="25">
          <cell r="C25" t="str">
            <v>ZARATE LUNA DIEGO ALEXANDER</v>
          </cell>
          <cell r="I25">
            <v>1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1:CG40"/>
  <sheetViews>
    <sheetView topLeftCell="C1" zoomScale="125" workbookViewId="0">
      <pane xSplit="7" ySplit="12" topLeftCell="J13" activePane="bottomRight" state="frozen"/>
      <selection activeCell="C1" sqref="C1"/>
      <selection pane="topRight" activeCell="H1" sqref="H1"/>
      <selection pane="bottomLeft" activeCell="C14" sqref="C14"/>
      <selection pane="bottomRight" activeCell="G40" sqref="G40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36.6640625" style="15" bestFit="1" customWidth="1"/>
    <col min="4" max="6" width="14.33203125" style="4" hidden="1" customWidth="1"/>
    <col min="7" max="8" width="10.83203125" style="4" customWidth="1"/>
    <col min="9" max="12" width="14.33203125" style="4" customWidth="1"/>
    <col min="13" max="13" width="13" style="4" customWidth="1"/>
    <col min="14" max="14" width="14" style="4" customWidth="1"/>
    <col min="15" max="17" width="8.83203125" style="4"/>
    <col min="18" max="18" width="9.83203125" style="4" bestFit="1" customWidth="1"/>
    <col min="19" max="19" width="12.5" style="4" customWidth="1"/>
    <col min="20" max="20" width="10.83203125" style="4" bestFit="1" customWidth="1"/>
    <col min="21" max="21" width="9" style="4" bestFit="1" customWidth="1"/>
    <col min="22" max="24" width="8.83203125" style="4"/>
    <col min="25" max="25" width="12.5" style="4" customWidth="1"/>
    <col min="26" max="26" width="10.83203125" style="4" bestFit="1" customWidth="1"/>
    <col min="27" max="27" width="9" style="4" bestFit="1" customWidth="1"/>
    <col min="28" max="30" width="8.83203125" style="4"/>
    <col min="31" max="31" width="12.5" style="4" customWidth="1"/>
    <col min="32" max="32" width="10.83203125" style="4" bestFit="1" customWidth="1"/>
    <col min="33" max="33" width="9" style="4" bestFit="1" customWidth="1"/>
    <col min="34" max="36" width="8.83203125" style="4"/>
    <col min="37" max="37" width="12.5" style="4" customWidth="1"/>
    <col min="38" max="38" width="10.83203125" style="4" bestFit="1" customWidth="1"/>
    <col min="39" max="39" width="9" style="4" bestFit="1" customWidth="1"/>
    <col min="40" max="42" width="8.83203125" style="4"/>
    <col min="43" max="43" width="12.5" style="4" customWidth="1"/>
    <col min="44" max="44" width="10.83203125" style="4" bestFit="1" customWidth="1"/>
    <col min="45" max="45" width="9" style="4" bestFit="1" customWidth="1"/>
    <col min="46" max="48" width="8.83203125" style="4"/>
    <col min="49" max="49" width="12.5" style="4" customWidth="1"/>
    <col min="50" max="50" width="10.83203125" style="4" bestFit="1" customWidth="1"/>
    <col min="51" max="51" width="9" style="4" bestFit="1" customWidth="1"/>
    <col min="52" max="54" width="8.83203125" style="4"/>
    <col min="55" max="55" width="12.5" style="4" customWidth="1"/>
    <col min="56" max="56" width="10.83203125" style="4" bestFit="1" customWidth="1"/>
    <col min="57" max="57" width="9" style="4" bestFit="1" customWidth="1"/>
    <col min="58" max="60" width="8.83203125" style="4"/>
    <col min="61" max="61" width="3.33203125" style="4" bestFit="1" customWidth="1"/>
    <col min="62" max="62" width="12.5" style="4" customWidth="1"/>
    <col min="63" max="63" width="10.83203125" style="4" bestFit="1" customWidth="1"/>
    <col min="64" max="64" width="9" style="4" bestFit="1" customWidth="1"/>
    <col min="65" max="67" width="8.83203125" style="4"/>
    <col min="68" max="68" width="12.5" style="4" customWidth="1"/>
    <col min="69" max="69" width="10.83203125" style="4" bestFit="1" customWidth="1"/>
    <col min="70" max="70" width="9" style="4" bestFit="1" customWidth="1"/>
    <col min="71" max="73" width="8.83203125" style="4"/>
    <col min="74" max="74" width="12.5" style="4" customWidth="1"/>
    <col min="75" max="75" width="10.83203125" style="4" bestFit="1" customWidth="1"/>
    <col min="76" max="76" width="9" style="4" bestFit="1" customWidth="1"/>
    <col min="77" max="79" width="8.83203125" style="4"/>
    <col min="80" max="80" width="12.5" style="4" customWidth="1"/>
    <col min="81" max="81" width="10.83203125" style="4" bestFit="1" customWidth="1"/>
    <col min="82" max="82" width="10.83203125" style="4" customWidth="1"/>
    <col min="83" max="16384" width="8.83203125" style="4"/>
  </cols>
  <sheetData>
    <row r="1" spans="1:85" ht="15" customHeight="1" x14ac:dyDescent="0.2">
      <c r="G1" s="18"/>
      <c r="H1" s="18"/>
      <c r="I1" s="9"/>
      <c r="J1" s="52"/>
      <c r="K1" s="102" t="s">
        <v>758</v>
      </c>
      <c r="L1" s="36"/>
      <c r="M1" s="109" t="s">
        <v>759</v>
      </c>
      <c r="N1" s="110"/>
      <c r="O1" s="110"/>
      <c r="P1" s="110"/>
      <c r="Q1" s="110"/>
      <c r="R1" s="111"/>
      <c r="S1" s="112" t="s">
        <v>760</v>
      </c>
      <c r="T1" s="110"/>
      <c r="U1" s="110"/>
      <c r="V1" s="110"/>
      <c r="W1" s="110"/>
      <c r="X1" s="113"/>
      <c r="Y1" s="109" t="s">
        <v>761</v>
      </c>
      <c r="Z1" s="110"/>
      <c r="AA1" s="110"/>
      <c r="AB1" s="110"/>
      <c r="AC1" s="110"/>
      <c r="AD1" s="110"/>
      <c r="AE1" s="112" t="s">
        <v>762</v>
      </c>
      <c r="AF1" s="110"/>
      <c r="AG1" s="110"/>
      <c r="AH1" s="110"/>
      <c r="AI1" s="110"/>
      <c r="AJ1" s="113"/>
      <c r="AK1" s="101" t="s">
        <v>765</v>
      </c>
      <c r="AL1" s="101"/>
      <c r="AM1" s="101"/>
      <c r="AN1" s="101"/>
      <c r="AO1" s="101"/>
      <c r="AP1" s="101"/>
      <c r="AQ1" s="100" t="s">
        <v>766</v>
      </c>
      <c r="AR1" s="101"/>
      <c r="AS1" s="101"/>
      <c r="AT1" s="101"/>
      <c r="AU1" s="101"/>
      <c r="AV1" s="101"/>
      <c r="AW1" s="100" t="s">
        <v>767</v>
      </c>
      <c r="AX1" s="101"/>
      <c r="AY1" s="101"/>
      <c r="AZ1" s="101"/>
      <c r="BA1" s="101"/>
      <c r="BB1" s="101"/>
      <c r="BC1" s="100" t="s">
        <v>768</v>
      </c>
      <c r="BD1" s="101"/>
      <c r="BE1" s="101"/>
      <c r="BF1" s="101"/>
      <c r="BG1" s="101"/>
      <c r="BH1" s="101"/>
      <c r="BI1" s="104"/>
      <c r="BJ1" s="100" t="s">
        <v>756</v>
      </c>
      <c r="BK1" s="101"/>
      <c r="BL1" s="101"/>
      <c r="BM1" s="101"/>
      <c r="BN1" s="101"/>
      <c r="BO1" s="101"/>
      <c r="BP1" s="100" t="s">
        <v>756</v>
      </c>
      <c r="BQ1" s="101"/>
      <c r="BR1" s="101"/>
      <c r="BS1" s="101"/>
      <c r="BT1" s="101"/>
      <c r="BU1" s="101"/>
      <c r="BV1" s="100" t="s">
        <v>756</v>
      </c>
      <c r="BW1" s="101"/>
      <c r="BX1" s="101"/>
      <c r="BY1" s="101"/>
      <c r="BZ1" s="101"/>
      <c r="CA1" s="101"/>
      <c r="CB1" s="100" t="s">
        <v>756</v>
      </c>
      <c r="CC1" s="101"/>
      <c r="CD1" s="101"/>
      <c r="CE1" s="101"/>
      <c r="CF1" s="101"/>
      <c r="CG1" s="101"/>
    </row>
    <row r="2" spans="1:85" ht="48" x14ac:dyDescent="0.2">
      <c r="A2" s="9" t="s">
        <v>1</v>
      </c>
      <c r="B2" s="9" t="s">
        <v>2</v>
      </c>
      <c r="C2" s="12" t="s">
        <v>3</v>
      </c>
      <c r="D2" s="9" t="s">
        <v>737</v>
      </c>
      <c r="E2" s="9" t="s">
        <v>738</v>
      </c>
      <c r="F2" s="9" t="s">
        <v>743</v>
      </c>
      <c r="G2" s="9" t="s">
        <v>773</v>
      </c>
      <c r="H2" s="9" t="s">
        <v>774</v>
      </c>
      <c r="I2" s="9" t="s">
        <v>757</v>
      </c>
      <c r="J2" s="24" t="s">
        <v>770</v>
      </c>
      <c r="K2" s="103"/>
      <c r="L2" s="56" t="s">
        <v>772</v>
      </c>
      <c r="M2" s="42" t="s">
        <v>752</v>
      </c>
      <c r="N2" s="9" t="s">
        <v>753</v>
      </c>
      <c r="O2" s="9" t="s">
        <v>754</v>
      </c>
      <c r="P2" s="9" t="s">
        <v>763</v>
      </c>
      <c r="Q2" s="18" t="s">
        <v>771</v>
      </c>
      <c r="R2" s="9" t="s">
        <v>755</v>
      </c>
      <c r="S2" s="18" t="s">
        <v>752</v>
      </c>
      <c r="T2" s="9" t="s">
        <v>753</v>
      </c>
      <c r="U2" s="9" t="s">
        <v>754</v>
      </c>
      <c r="V2" s="9" t="s">
        <v>763</v>
      </c>
      <c r="W2" s="18" t="s">
        <v>771</v>
      </c>
      <c r="X2" s="43" t="s">
        <v>755</v>
      </c>
      <c r="Y2" s="42" t="s">
        <v>752</v>
      </c>
      <c r="Z2" s="9" t="s">
        <v>753</v>
      </c>
      <c r="AA2" s="9" t="s">
        <v>754</v>
      </c>
      <c r="AB2" s="9" t="s">
        <v>763</v>
      </c>
      <c r="AC2" s="18" t="s">
        <v>771</v>
      </c>
      <c r="AD2" s="9" t="s">
        <v>755</v>
      </c>
      <c r="AE2" s="18" t="s">
        <v>752</v>
      </c>
      <c r="AF2" s="9" t="s">
        <v>753</v>
      </c>
      <c r="AG2" s="9" t="s">
        <v>754</v>
      </c>
      <c r="AH2" s="9" t="s">
        <v>763</v>
      </c>
      <c r="AI2" s="18" t="s">
        <v>771</v>
      </c>
      <c r="AJ2" s="43" t="s">
        <v>755</v>
      </c>
      <c r="AK2" s="28" t="s">
        <v>752</v>
      </c>
      <c r="AL2" s="9" t="s">
        <v>753</v>
      </c>
      <c r="AM2" s="9" t="s">
        <v>754</v>
      </c>
      <c r="AN2" s="9" t="s">
        <v>763</v>
      </c>
      <c r="AO2" s="18" t="s">
        <v>771</v>
      </c>
      <c r="AP2" s="9" t="s">
        <v>755</v>
      </c>
      <c r="AQ2" s="18" t="s">
        <v>752</v>
      </c>
      <c r="AR2" s="9" t="s">
        <v>753</v>
      </c>
      <c r="AS2" s="9" t="s">
        <v>754</v>
      </c>
      <c r="AT2" s="9" t="s">
        <v>763</v>
      </c>
      <c r="AU2" s="18" t="s">
        <v>771</v>
      </c>
      <c r="AV2" s="9" t="s">
        <v>755</v>
      </c>
      <c r="AW2" s="18" t="s">
        <v>752</v>
      </c>
      <c r="AX2" s="9" t="s">
        <v>753</v>
      </c>
      <c r="AY2" s="9" t="s">
        <v>754</v>
      </c>
      <c r="AZ2" s="9" t="s">
        <v>763</v>
      </c>
      <c r="BA2" s="18" t="s">
        <v>771</v>
      </c>
      <c r="BB2" s="9" t="s">
        <v>755</v>
      </c>
      <c r="BC2" s="18" t="s">
        <v>752</v>
      </c>
      <c r="BD2" s="9" t="s">
        <v>753</v>
      </c>
      <c r="BE2" s="9" t="s">
        <v>754</v>
      </c>
      <c r="BF2" s="9" t="s">
        <v>763</v>
      </c>
      <c r="BG2" s="18" t="s">
        <v>771</v>
      </c>
      <c r="BH2" s="9" t="s">
        <v>755</v>
      </c>
      <c r="BI2" s="105"/>
      <c r="BJ2" s="18" t="s">
        <v>752</v>
      </c>
      <c r="BK2" s="9" t="s">
        <v>753</v>
      </c>
      <c r="BL2" s="9" t="s">
        <v>754</v>
      </c>
      <c r="BM2" s="9" t="s">
        <v>763</v>
      </c>
      <c r="BN2" s="9" t="s">
        <v>764</v>
      </c>
      <c r="BO2" s="9" t="s">
        <v>755</v>
      </c>
      <c r="BP2" s="18" t="s">
        <v>752</v>
      </c>
      <c r="BQ2" s="9" t="s">
        <v>753</v>
      </c>
      <c r="BR2" s="9" t="s">
        <v>754</v>
      </c>
      <c r="BS2" s="9" t="s">
        <v>763</v>
      </c>
      <c r="BT2" s="9" t="s">
        <v>764</v>
      </c>
      <c r="BU2" s="9" t="s">
        <v>755</v>
      </c>
      <c r="BV2" s="18" t="s">
        <v>752</v>
      </c>
      <c r="BW2" s="9" t="s">
        <v>753</v>
      </c>
      <c r="BX2" s="9" t="s">
        <v>754</v>
      </c>
      <c r="BY2" s="9" t="s">
        <v>763</v>
      </c>
      <c r="BZ2" s="9" t="s">
        <v>764</v>
      </c>
      <c r="CA2" s="9" t="s">
        <v>755</v>
      </c>
      <c r="CB2" s="18" t="s">
        <v>752</v>
      </c>
      <c r="CC2" s="9" t="s">
        <v>753</v>
      </c>
      <c r="CD2" s="9" t="s">
        <v>754</v>
      </c>
      <c r="CE2" s="9" t="s">
        <v>763</v>
      </c>
      <c r="CF2" s="9" t="s">
        <v>764</v>
      </c>
      <c r="CG2" s="9" t="s">
        <v>755</v>
      </c>
    </row>
    <row r="3" spans="1:85" ht="16" x14ac:dyDescent="0.2">
      <c r="A3" s="5" t="s">
        <v>296</v>
      </c>
      <c r="B3" s="5">
        <v>1</v>
      </c>
      <c r="C3" s="13" t="s">
        <v>295</v>
      </c>
      <c r="D3" s="6">
        <v>1</v>
      </c>
      <c r="E3" s="5"/>
      <c r="F3" s="5">
        <v>1</v>
      </c>
      <c r="G3" s="59">
        <v>1</v>
      </c>
      <c r="H3" s="59">
        <f>_xlfn.XLOOKUP(C3,'[1]5A_CD'!$C:$C,'[1]5A_CD'!$J:$J,"")</f>
        <v>1</v>
      </c>
      <c r="I3" s="97">
        <f>J3*0.7+G3*20+H3*10</f>
        <v>70.775000000000006</v>
      </c>
      <c r="J3" s="33">
        <f>IF(K3&gt;=100,100,K3)</f>
        <v>58.25</v>
      </c>
      <c r="K3" s="33">
        <f>R3*10+X3*10+AD3*15+AJ3*15+AP3*15+AV3*15+BB3*20+BH3*20+L3</f>
        <v>58.25</v>
      </c>
      <c r="L3" s="57"/>
      <c r="M3" s="44">
        <v>1</v>
      </c>
      <c r="N3" s="5">
        <v>1</v>
      </c>
      <c r="O3" s="5">
        <v>1</v>
      </c>
      <c r="P3" s="5">
        <v>1</v>
      </c>
      <c r="Q3" s="5">
        <v>1</v>
      </c>
      <c r="R3" s="48">
        <f>AVERAGE(M3:Q3)</f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48">
        <f>AVERAGE(S3:W3)</f>
        <v>1</v>
      </c>
      <c r="Y3" s="44">
        <v>1</v>
      </c>
      <c r="Z3" s="5">
        <v>1</v>
      </c>
      <c r="AA3" s="5">
        <v>1</v>
      </c>
      <c r="AB3" s="5">
        <v>0</v>
      </c>
      <c r="AC3" s="5">
        <v>1</v>
      </c>
      <c r="AD3" s="48">
        <f>AVERAGE(Y3:AC3)</f>
        <v>0.8</v>
      </c>
      <c r="AE3" s="5">
        <v>1</v>
      </c>
      <c r="AF3" s="5">
        <v>1</v>
      </c>
      <c r="AG3" s="5">
        <v>1</v>
      </c>
      <c r="AH3" s="5">
        <v>0</v>
      </c>
      <c r="AI3" s="5">
        <v>1</v>
      </c>
      <c r="AJ3" s="48">
        <f>AVERAGE(AE3:AI3)</f>
        <v>0.8</v>
      </c>
      <c r="AK3" s="34">
        <v>0.75</v>
      </c>
      <c r="AL3" s="5">
        <v>1</v>
      </c>
      <c r="AM3" s="5">
        <v>0.5</v>
      </c>
      <c r="AN3" s="5">
        <v>0</v>
      </c>
      <c r="AO3" s="5">
        <v>0</v>
      </c>
      <c r="AP3" s="48">
        <f>AVERAGE(AK3:AO3)</f>
        <v>0.45</v>
      </c>
      <c r="AQ3" s="5">
        <v>1</v>
      </c>
      <c r="AR3" s="5">
        <v>1</v>
      </c>
      <c r="AS3" s="5">
        <v>0.5</v>
      </c>
      <c r="AT3" s="5">
        <v>0</v>
      </c>
      <c r="AU3" s="5">
        <v>0</v>
      </c>
      <c r="AV3" s="48">
        <f>AVERAGE(AQ3:AU3)</f>
        <v>0.5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48">
        <f>AVERAGE(AW3:BA3)</f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48">
        <f>AVERAGE(BC3:BG3)</f>
        <v>0</v>
      </c>
      <c r="BI3" s="106"/>
      <c r="BJ3" s="5"/>
      <c r="BK3" s="5"/>
      <c r="BL3" s="5"/>
      <c r="BM3" s="5"/>
      <c r="BN3" s="5"/>
      <c r="BO3" s="48">
        <f>SUM(BJ3:BN3)/5</f>
        <v>0</v>
      </c>
      <c r="BP3" s="5"/>
      <c r="BQ3" s="5"/>
      <c r="BR3" s="5"/>
      <c r="BS3" s="5"/>
      <c r="BT3" s="5"/>
      <c r="BU3" s="48">
        <f>SUM(BP3:BT3)/5</f>
        <v>0</v>
      </c>
      <c r="BV3" s="5"/>
      <c r="BW3" s="5"/>
      <c r="BX3" s="5"/>
      <c r="BY3" s="5"/>
      <c r="BZ3" s="5"/>
      <c r="CA3" s="48">
        <f>SUM(BV3:BZ3)/5</f>
        <v>0</v>
      </c>
      <c r="CB3" s="5"/>
      <c r="CC3" s="5"/>
      <c r="CD3" s="5"/>
      <c r="CE3" s="5"/>
      <c r="CF3" s="5"/>
      <c r="CG3" s="48">
        <f>SUM(CB3:CF3)/5</f>
        <v>0</v>
      </c>
    </row>
    <row r="4" spans="1:85" ht="16" x14ac:dyDescent="0.2">
      <c r="A4" s="7" t="s">
        <v>294</v>
      </c>
      <c r="B4" s="7">
        <v>1</v>
      </c>
      <c r="C4" s="14" t="s">
        <v>293</v>
      </c>
      <c r="D4" s="8">
        <v>1</v>
      </c>
      <c r="E4" s="7">
        <v>1</v>
      </c>
      <c r="F4" s="7">
        <v>1</v>
      </c>
      <c r="G4" s="59">
        <v>1</v>
      </c>
      <c r="H4" s="59">
        <f>_xlfn.XLOOKUP(C4,'[1]5A_CD'!$C:$C,'[1]5A_CD'!$J:$J,"")</f>
        <v>0.9285714285714286</v>
      </c>
      <c r="I4" s="97">
        <f>J4*0.7+G4*20+H4*10</f>
        <v>79.685714285714297</v>
      </c>
      <c r="J4" s="33">
        <f t="shared" ref="J4:J40" si="0">IF(K4&gt;=100,100,K4)</f>
        <v>72</v>
      </c>
      <c r="K4" s="33">
        <f t="shared" ref="K4:K39" si="1">R4*10+X4*10+AD4*15+AJ4*15+AP4*15+AV4*15+BB4*20+BH4*20+L4</f>
        <v>72</v>
      </c>
      <c r="L4" s="57"/>
      <c r="M4" s="45">
        <v>1</v>
      </c>
      <c r="N4" s="7">
        <v>1</v>
      </c>
      <c r="O4" s="7">
        <v>1</v>
      </c>
      <c r="P4" s="7">
        <v>1</v>
      </c>
      <c r="Q4" s="7">
        <v>1</v>
      </c>
      <c r="R4" s="48">
        <f t="shared" ref="R4:R39" si="2">AVERAGE(M4:Q4)</f>
        <v>1</v>
      </c>
      <c r="S4" s="7">
        <v>1</v>
      </c>
      <c r="T4" s="7">
        <v>1</v>
      </c>
      <c r="U4" s="7">
        <v>1</v>
      </c>
      <c r="V4" s="7">
        <v>1</v>
      </c>
      <c r="W4" s="7">
        <v>1</v>
      </c>
      <c r="X4" s="48">
        <f t="shared" ref="X4:X39" si="3">AVERAGE(S4:W4)</f>
        <v>1</v>
      </c>
      <c r="Y4" s="45">
        <v>1</v>
      </c>
      <c r="Z4" s="7">
        <v>1</v>
      </c>
      <c r="AA4" s="7">
        <v>1</v>
      </c>
      <c r="AB4" s="7">
        <v>1</v>
      </c>
      <c r="AC4" s="7">
        <v>1</v>
      </c>
      <c r="AD4" s="48">
        <f t="shared" ref="AD4:AD39" si="4">AVERAGE(Y4:AC4)</f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48">
        <f t="shared" ref="AJ4:AJ39" si="5">AVERAGE(AE4:AI4)</f>
        <v>1</v>
      </c>
      <c r="AK4" s="35">
        <v>1</v>
      </c>
      <c r="AL4" s="7">
        <v>1</v>
      </c>
      <c r="AM4" s="7">
        <v>1</v>
      </c>
      <c r="AN4" s="7">
        <v>1</v>
      </c>
      <c r="AO4" s="7">
        <v>1</v>
      </c>
      <c r="AP4" s="48">
        <f t="shared" ref="AP4:AP39" si="6">AVERAGE(AK4:AO4)</f>
        <v>1</v>
      </c>
      <c r="AQ4" s="7">
        <v>0</v>
      </c>
      <c r="AR4" s="7">
        <v>1</v>
      </c>
      <c r="AS4" s="7">
        <v>0</v>
      </c>
      <c r="AT4" s="7">
        <v>0</v>
      </c>
      <c r="AU4" s="7">
        <v>0</v>
      </c>
      <c r="AV4" s="48">
        <f t="shared" ref="AV4:AV39" si="7">AVERAGE(AQ4:AU4)</f>
        <v>0.2</v>
      </c>
      <c r="AW4" s="7">
        <v>0</v>
      </c>
      <c r="AX4" s="7">
        <v>1</v>
      </c>
      <c r="AY4" s="7">
        <v>0</v>
      </c>
      <c r="AZ4" s="7">
        <v>0</v>
      </c>
      <c r="BA4" s="7">
        <v>0</v>
      </c>
      <c r="BB4" s="48">
        <f t="shared" ref="BB4:BB39" si="8">AVERAGE(AW4:BA4)</f>
        <v>0.2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48">
        <f t="shared" ref="BH4:BH39" si="9">AVERAGE(BC4:BG4)</f>
        <v>0</v>
      </c>
      <c r="BI4" s="107"/>
      <c r="BJ4" s="7"/>
      <c r="BK4" s="7"/>
      <c r="BL4" s="7"/>
      <c r="BM4" s="7"/>
      <c r="BN4" s="7"/>
      <c r="BO4" s="48">
        <f t="shared" ref="BO4:BO39" si="10">SUM(BJ4:BN4)/5</f>
        <v>0</v>
      </c>
      <c r="BP4" s="7"/>
      <c r="BQ4" s="7"/>
      <c r="BR4" s="7"/>
      <c r="BS4" s="7"/>
      <c r="BT4" s="7"/>
      <c r="BU4" s="48">
        <f t="shared" ref="BU4:BU39" si="11">SUM(BP4:BT4)/5</f>
        <v>0</v>
      </c>
      <c r="BV4" s="7"/>
      <c r="BW4" s="7"/>
      <c r="BX4" s="7"/>
      <c r="BY4" s="7"/>
      <c r="BZ4" s="7"/>
      <c r="CA4" s="48">
        <f t="shared" ref="CA4:CA39" si="12">SUM(BV4:BZ4)/5</f>
        <v>0</v>
      </c>
      <c r="CB4" s="7"/>
      <c r="CC4" s="7"/>
      <c r="CD4" s="7"/>
      <c r="CE4" s="7"/>
      <c r="CF4" s="7"/>
      <c r="CG4" s="48">
        <f t="shared" ref="CG4:CG39" si="13">SUM(CB4:CF4)/5</f>
        <v>0</v>
      </c>
    </row>
    <row r="5" spans="1:85" ht="16" x14ac:dyDescent="0.2">
      <c r="A5" s="5" t="s">
        <v>292</v>
      </c>
      <c r="B5" s="5">
        <v>1</v>
      </c>
      <c r="C5" s="13" t="s">
        <v>291</v>
      </c>
      <c r="D5" s="6">
        <v>1</v>
      </c>
      <c r="E5" s="5">
        <v>1</v>
      </c>
      <c r="F5" s="5">
        <v>1</v>
      </c>
      <c r="G5" s="59">
        <v>1</v>
      </c>
      <c r="H5" s="59">
        <f>_xlfn.XLOOKUP(C5,'[1]5A_CD'!$C:$C,'[1]5A_CD'!$J:$J,"")</f>
        <v>1</v>
      </c>
      <c r="I5" s="97">
        <f>J5*0.7+G5*20+H5*10</f>
        <v>100</v>
      </c>
      <c r="J5" s="33">
        <f t="shared" si="0"/>
        <v>100</v>
      </c>
      <c r="K5" s="33">
        <f t="shared" si="1"/>
        <v>110</v>
      </c>
      <c r="L5" s="57"/>
      <c r="M5" s="44">
        <v>1</v>
      </c>
      <c r="N5" s="5">
        <v>1</v>
      </c>
      <c r="O5" s="5">
        <v>1</v>
      </c>
      <c r="P5" s="5">
        <v>1</v>
      </c>
      <c r="Q5" s="5">
        <v>1</v>
      </c>
      <c r="R5" s="48">
        <f t="shared" si="2"/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48">
        <f t="shared" si="3"/>
        <v>1</v>
      </c>
      <c r="Y5" s="44">
        <v>1</v>
      </c>
      <c r="Z5" s="5">
        <v>1</v>
      </c>
      <c r="AA5" s="5">
        <v>1</v>
      </c>
      <c r="AB5" s="5">
        <v>1</v>
      </c>
      <c r="AC5" s="5">
        <v>1</v>
      </c>
      <c r="AD5" s="48">
        <f t="shared" si="4"/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48">
        <f t="shared" si="5"/>
        <v>1</v>
      </c>
      <c r="AK5" s="34">
        <v>1</v>
      </c>
      <c r="AL5" s="5">
        <v>1</v>
      </c>
      <c r="AM5" s="5">
        <v>1</v>
      </c>
      <c r="AN5" s="5">
        <v>1</v>
      </c>
      <c r="AO5" s="5">
        <v>1</v>
      </c>
      <c r="AP5" s="48">
        <f t="shared" si="6"/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48">
        <f t="shared" si="7"/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48">
        <f t="shared" si="8"/>
        <v>1</v>
      </c>
      <c r="BC5" s="5">
        <v>1</v>
      </c>
      <c r="BD5" s="5">
        <v>1</v>
      </c>
      <c r="BE5" s="5">
        <v>0.5</v>
      </c>
      <c r="BF5" s="5">
        <v>0</v>
      </c>
      <c r="BG5" s="5">
        <v>0</v>
      </c>
      <c r="BH5" s="48">
        <f t="shared" si="9"/>
        <v>0.5</v>
      </c>
      <c r="BI5" s="107"/>
      <c r="BJ5" s="5"/>
      <c r="BK5" s="5"/>
      <c r="BL5" s="5"/>
      <c r="BM5" s="5"/>
      <c r="BN5" s="5"/>
      <c r="BO5" s="48">
        <f t="shared" si="10"/>
        <v>0</v>
      </c>
      <c r="BP5" s="5"/>
      <c r="BQ5" s="5"/>
      <c r="BR5" s="5"/>
      <c r="BS5" s="5"/>
      <c r="BT5" s="5"/>
      <c r="BU5" s="48">
        <f t="shared" si="11"/>
        <v>0</v>
      </c>
      <c r="BV5" s="5"/>
      <c r="BW5" s="5"/>
      <c r="BX5" s="5"/>
      <c r="BY5" s="5"/>
      <c r="BZ5" s="5"/>
      <c r="CA5" s="48">
        <f t="shared" si="12"/>
        <v>0</v>
      </c>
      <c r="CB5" s="5"/>
      <c r="CC5" s="5"/>
      <c r="CD5" s="5"/>
      <c r="CE5" s="5"/>
      <c r="CF5" s="5"/>
      <c r="CG5" s="48">
        <f t="shared" si="13"/>
        <v>0</v>
      </c>
    </row>
    <row r="6" spans="1:85" ht="16" x14ac:dyDescent="0.2">
      <c r="A6" s="7" t="s">
        <v>290</v>
      </c>
      <c r="B6" s="7">
        <v>1</v>
      </c>
      <c r="C6" s="14" t="s">
        <v>289</v>
      </c>
      <c r="D6" s="8">
        <v>1</v>
      </c>
      <c r="E6" s="7"/>
      <c r="F6" s="7">
        <v>1</v>
      </c>
      <c r="G6" s="59">
        <v>1</v>
      </c>
      <c r="H6" s="59">
        <f>_xlfn.XLOOKUP(C6,'[1]5A_CD'!$C:$C,'[1]5A_CD'!$J:$J,"")</f>
        <v>1</v>
      </c>
      <c r="I6" s="97">
        <f t="shared" ref="I6:I40" si="14">J6*0.7+G6*20+H6*10</f>
        <v>65.77</v>
      </c>
      <c r="J6" s="33">
        <f t="shared" si="0"/>
        <v>51.1</v>
      </c>
      <c r="K6" s="33">
        <f t="shared" si="1"/>
        <v>51.1</v>
      </c>
      <c r="L6" s="57"/>
      <c r="M6" s="45">
        <v>0.8</v>
      </c>
      <c r="N6" s="7">
        <v>0.5</v>
      </c>
      <c r="O6" s="7">
        <v>0.8</v>
      </c>
      <c r="P6" s="7">
        <v>0.8</v>
      </c>
      <c r="Q6" s="7">
        <v>0.8</v>
      </c>
      <c r="R6" s="48">
        <f t="shared" si="2"/>
        <v>0.74</v>
      </c>
      <c r="S6" s="7">
        <v>0.8</v>
      </c>
      <c r="T6" s="7">
        <v>0.5</v>
      </c>
      <c r="U6" s="7">
        <v>0.8</v>
      </c>
      <c r="V6" s="7">
        <v>0.8</v>
      </c>
      <c r="W6" s="7">
        <v>0.8</v>
      </c>
      <c r="X6" s="48">
        <f t="shared" si="3"/>
        <v>0.74</v>
      </c>
      <c r="Y6" s="45">
        <v>0.8</v>
      </c>
      <c r="Z6" s="7">
        <v>0.5</v>
      </c>
      <c r="AA6" s="7">
        <v>0.8</v>
      </c>
      <c r="AB6" s="7">
        <v>0.8</v>
      </c>
      <c r="AC6" s="7">
        <v>0.8</v>
      </c>
      <c r="AD6" s="48">
        <f t="shared" si="4"/>
        <v>0.74</v>
      </c>
      <c r="AE6" s="45">
        <v>0.8</v>
      </c>
      <c r="AF6" s="7">
        <v>0.5</v>
      </c>
      <c r="AG6" s="7">
        <v>0.8</v>
      </c>
      <c r="AH6" s="7">
        <v>0.8</v>
      </c>
      <c r="AI6" s="7">
        <v>0.8</v>
      </c>
      <c r="AJ6" s="48">
        <f t="shared" si="5"/>
        <v>0.74</v>
      </c>
      <c r="AK6" s="35">
        <v>0</v>
      </c>
      <c r="AL6" s="7">
        <v>0</v>
      </c>
      <c r="AM6" s="7">
        <v>0</v>
      </c>
      <c r="AN6" s="7">
        <v>0</v>
      </c>
      <c r="AO6" s="7">
        <v>0</v>
      </c>
      <c r="AP6" s="48">
        <f t="shared" si="6"/>
        <v>0</v>
      </c>
      <c r="AQ6" s="7">
        <v>0.8</v>
      </c>
      <c r="AR6" s="7">
        <v>0.5</v>
      </c>
      <c r="AS6" s="7">
        <v>0.8</v>
      </c>
      <c r="AT6" s="7">
        <v>0.8</v>
      </c>
      <c r="AU6" s="7">
        <v>0.8</v>
      </c>
      <c r="AV6" s="48">
        <f t="shared" si="7"/>
        <v>0.74</v>
      </c>
      <c r="AW6" s="7">
        <v>0.25</v>
      </c>
      <c r="AX6" s="7">
        <v>0.25</v>
      </c>
      <c r="AY6" s="7">
        <v>0</v>
      </c>
      <c r="AZ6" s="7">
        <v>0</v>
      </c>
      <c r="BA6" s="7">
        <v>0</v>
      </c>
      <c r="BB6" s="48">
        <f t="shared" si="8"/>
        <v>0.1</v>
      </c>
      <c r="BC6" s="7">
        <v>0.25</v>
      </c>
      <c r="BD6" s="7">
        <v>0</v>
      </c>
      <c r="BE6" s="7">
        <v>0</v>
      </c>
      <c r="BF6" s="7">
        <v>0</v>
      </c>
      <c r="BG6" s="7">
        <v>0</v>
      </c>
      <c r="BH6" s="48">
        <f t="shared" si="9"/>
        <v>0.05</v>
      </c>
      <c r="BI6" s="107"/>
      <c r="BJ6" s="7"/>
      <c r="BK6" s="7"/>
      <c r="BL6" s="7"/>
      <c r="BM6" s="7"/>
      <c r="BN6" s="7"/>
      <c r="BO6" s="48">
        <f t="shared" si="10"/>
        <v>0</v>
      </c>
      <c r="BP6" s="7"/>
      <c r="BQ6" s="7"/>
      <c r="BR6" s="7"/>
      <c r="BS6" s="7"/>
      <c r="BT6" s="7"/>
      <c r="BU6" s="48">
        <f t="shared" si="11"/>
        <v>0</v>
      </c>
      <c r="BV6" s="7"/>
      <c r="BW6" s="7"/>
      <c r="BX6" s="7"/>
      <c r="BY6" s="7"/>
      <c r="BZ6" s="7"/>
      <c r="CA6" s="48">
        <f t="shared" si="12"/>
        <v>0</v>
      </c>
      <c r="CB6" s="7"/>
      <c r="CC6" s="7"/>
      <c r="CD6" s="7"/>
      <c r="CE6" s="7"/>
      <c r="CF6" s="7"/>
      <c r="CG6" s="48">
        <f t="shared" si="13"/>
        <v>0</v>
      </c>
    </row>
    <row r="7" spans="1:85" ht="16" x14ac:dyDescent="0.2">
      <c r="A7" s="5" t="s">
        <v>288</v>
      </c>
      <c r="B7" s="5">
        <v>1</v>
      </c>
      <c r="C7" s="13" t="s">
        <v>287</v>
      </c>
      <c r="D7" s="6">
        <v>1</v>
      </c>
      <c r="E7" s="5"/>
      <c r="F7" s="5">
        <v>1</v>
      </c>
      <c r="G7" s="59">
        <v>1</v>
      </c>
      <c r="H7" s="59">
        <f>_xlfn.XLOOKUP(C7,'[1]5A_CD'!$C:$C,'[1]5A_CD'!$J:$J,"")</f>
        <v>1</v>
      </c>
      <c r="I7" s="97">
        <f t="shared" si="14"/>
        <v>30</v>
      </c>
      <c r="J7" s="33">
        <f t="shared" si="0"/>
        <v>0</v>
      </c>
      <c r="K7" s="33">
        <f t="shared" si="1"/>
        <v>0</v>
      </c>
      <c r="L7" s="57"/>
      <c r="M7" s="44">
        <v>0</v>
      </c>
      <c r="N7" s="5">
        <v>0</v>
      </c>
      <c r="O7" s="5">
        <v>0</v>
      </c>
      <c r="P7" s="5">
        <v>0</v>
      </c>
      <c r="Q7" s="5">
        <v>0</v>
      </c>
      <c r="R7" s="48">
        <f t="shared" si="2"/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48">
        <f t="shared" si="3"/>
        <v>0</v>
      </c>
      <c r="Y7" s="44">
        <v>0</v>
      </c>
      <c r="Z7" s="5">
        <v>0</v>
      </c>
      <c r="AA7" s="5">
        <v>0</v>
      </c>
      <c r="AB7" s="5">
        <v>0</v>
      </c>
      <c r="AC7" s="5">
        <v>0</v>
      </c>
      <c r="AD7" s="48">
        <f t="shared" si="4"/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48">
        <f t="shared" si="5"/>
        <v>0</v>
      </c>
      <c r="AK7" s="34">
        <v>0</v>
      </c>
      <c r="AL7" s="5">
        <v>0</v>
      </c>
      <c r="AM7" s="5">
        <v>0</v>
      </c>
      <c r="AN7" s="5">
        <v>0</v>
      </c>
      <c r="AO7" s="5">
        <v>0</v>
      </c>
      <c r="AP7" s="48">
        <f t="shared" si="6"/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48">
        <f t="shared" si="7"/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48">
        <f t="shared" si="8"/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48">
        <f t="shared" si="9"/>
        <v>0</v>
      </c>
      <c r="BI7" s="107"/>
      <c r="BJ7" s="5"/>
      <c r="BK7" s="5"/>
      <c r="BL7" s="5"/>
      <c r="BM7" s="5"/>
      <c r="BN7" s="5"/>
      <c r="BO7" s="48">
        <f t="shared" si="10"/>
        <v>0</v>
      </c>
      <c r="BP7" s="5"/>
      <c r="BQ7" s="5"/>
      <c r="BR7" s="5"/>
      <c r="BS7" s="5"/>
      <c r="BT7" s="5"/>
      <c r="BU7" s="48">
        <f t="shared" si="11"/>
        <v>0</v>
      </c>
      <c r="BV7" s="5"/>
      <c r="BW7" s="5"/>
      <c r="BX7" s="5"/>
      <c r="BY7" s="5"/>
      <c r="BZ7" s="5"/>
      <c r="CA7" s="48">
        <f t="shared" si="12"/>
        <v>0</v>
      </c>
      <c r="CB7" s="5"/>
      <c r="CC7" s="5"/>
      <c r="CD7" s="5"/>
      <c r="CE7" s="5"/>
      <c r="CF7" s="5"/>
      <c r="CG7" s="48">
        <f t="shared" si="13"/>
        <v>0</v>
      </c>
    </row>
    <row r="8" spans="1:85" s="70" customFormat="1" ht="16" x14ac:dyDescent="0.2">
      <c r="A8" s="61" t="s">
        <v>286</v>
      </c>
      <c r="B8" s="61">
        <v>1</v>
      </c>
      <c r="C8" s="62" t="s">
        <v>285</v>
      </c>
      <c r="D8" s="72"/>
      <c r="E8" s="61"/>
      <c r="F8" s="61"/>
      <c r="G8" s="61"/>
      <c r="H8" s="59"/>
      <c r="I8" s="99" t="e">
        <f t="shared" si="14"/>
        <v>#DIV/0!</v>
      </c>
      <c r="J8" s="64" t="e">
        <f t="shared" si="0"/>
        <v>#DIV/0!</v>
      </c>
      <c r="K8" s="64" t="e">
        <f t="shared" si="1"/>
        <v>#DIV/0!</v>
      </c>
      <c r="L8" s="65"/>
      <c r="M8" s="66"/>
      <c r="N8" s="61"/>
      <c r="O8" s="61"/>
      <c r="P8" s="61"/>
      <c r="Q8" s="61"/>
      <c r="R8" s="67" t="e">
        <f t="shared" si="2"/>
        <v>#DIV/0!</v>
      </c>
      <c r="S8" s="61"/>
      <c r="T8" s="61"/>
      <c r="U8" s="61"/>
      <c r="V8" s="61"/>
      <c r="W8" s="61"/>
      <c r="X8" s="67" t="e">
        <f t="shared" si="3"/>
        <v>#DIV/0!</v>
      </c>
      <c r="Y8" s="66"/>
      <c r="Z8" s="61"/>
      <c r="AA8" s="61"/>
      <c r="AB8" s="61"/>
      <c r="AC8" s="61"/>
      <c r="AD8" s="67" t="e">
        <f t="shared" si="4"/>
        <v>#DIV/0!</v>
      </c>
      <c r="AE8" s="61"/>
      <c r="AF8" s="61"/>
      <c r="AG8" s="61"/>
      <c r="AH8" s="61"/>
      <c r="AI8" s="61"/>
      <c r="AJ8" s="67" t="e">
        <f t="shared" si="5"/>
        <v>#DIV/0!</v>
      </c>
      <c r="AK8" s="68"/>
      <c r="AL8" s="61"/>
      <c r="AM8" s="61"/>
      <c r="AN8" s="61"/>
      <c r="AO8" s="61"/>
      <c r="AP8" s="67" t="e">
        <f t="shared" si="6"/>
        <v>#DIV/0!</v>
      </c>
      <c r="AQ8" s="61"/>
      <c r="AR8" s="61"/>
      <c r="AS8" s="61"/>
      <c r="AT8" s="61"/>
      <c r="AU8" s="61"/>
      <c r="AV8" s="67" t="e">
        <f t="shared" si="7"/>
        <v>#DIV/0!</v>
      </c>
      <c r="AW8" s="61"/>
      <c r="AX8" s="61"/>
      <c r="AY8" s="61"/>
      <c r="AZ8" s="61"/>
      <c r="BA8" s="61"/>
      <c r="BB8" s="67" t="e">
        <f t="shared" si="8"/>
        <v>#DIV/0!</v>
      </c>
      <c r="BC8" s="61"/>
      <c r="BD8" s="61"/>
      <c r="BE8" s="61"/>
      <c r="BF8" s="61"/>
      <c r="BG8" s="61"/>
      <c r="BH8" s="67" t="e">
        <f t="shared" si="9"/>
        <v>#DIV/0!</v>
      </c>
      <c r="BI8" s="107"/>
      <c r="BJ8" s="61"/>
      <c r="BK8" s="61"/>
      <c r="BL8" s="61"/>
      <c r="BM8" s="61"/>
      <c r="BN8" s="61"/>
      <c r="BO8" s="67">
        <f t="shared" si="10"/>
        <v>0</v>
      </c>
      <c r="BP8" s="61"/>
      <c r="BQ8" s="61"/>
      <c r="BR8" s="61"/>
      <c r="BS8" s="61"/>
      <c r="BT8" s="61"/>
      <c r="BU8" s="67">
        <f t="shared" si="11"/>
        <v>0</v>
      </c>
      <c r="BV8" s="61"/>
      <c r="BW8" s="61"/>
      <c r="BX8" s="61"/>
      <c r="BY8" s="61"/>
      <c r="BZ8" s="61"/>
      <c r="CA8" s="67">
        <f t="shared" si="12"/>
        <v>0</v>
      </c>
      <c r="CB8" s="61"/>
      <c r="CC8" s="61"/>
      <c r="CD8" s="61"/>
      <c r="CE8" s="61"/>
      <c r="CF8" s="61"/>
      <c r="CG8" s="67">
        <f t="shared" si="13"/>
        <v>0</v>
      </c>
    </row>
    <row r="9" spans="1:85" s="70" customFormat="1" ht="16" x14ac:dyDescent="0.2">
      <c r="A9" s="61" t="s">
        <v>284</v>
      </c>
      <c r="B9" s="61">
        <v>1</v>
      </c>
      <c r="C9" s="62" t="s">
        <v>283</v>
      </c>
      <c r="D9" s="72"/>
      <c r="E9" s="61"/>
      <c r="F9" s="61"/>
      <c r="G9" s="61"/>
      <c r="H9" s="59"/>
      <c r="I9" s="99" t="e">
        <f t="shared" si="14"/>
        <v>#DIV/0!</v>
      </c>
      <c r="J9" s="64" t="e">
        <f t="shared" si="0"/>
        <v>#DIV/0!</v>
      </c>
      <c r="K9" s="64" t="e">
        <f t="shared" si="1"/>
        <v>#DIV/0!</v>
      </c>
      <c r="L9" s="65"/>
      <c r="M9" s="66"/>
      <c r="N9" s="61"/>
      <c r="O9" s="61"/>
      <c r="P9" s="61"/>
      <c r="Q9" s="61"/>
      <c r="R9" s="67" t="e">
        <f t="shared" si="2"/>
        <v>#DIV/0!</v>
      </c>
      <c r="S9" s="61"/>
      <c r="T9" s="61"/>
      <c r="U9" s="61"/>
      <c r="V9" s="61"/>
      <c r="W9" s="61"/>
      <c r="X9" s="67" t="e">
        <f t="shared" si="3"/>
        <v>#DIV/0!</v>
      </c>
      <c r="Y9" s="66"/>
      <c r="Z9" s="61"/>
      <c r="AA9" s="61"/>
      <c r="AB9" s="61"/>
      <c r="AC9" s="61"/>
      <c r="AD9" s="67" t="e">
        <f t="shared" si="4"/>
        <v>#DIV/0!</v>
      </c>
      <c r="AE9" s="61"/>
      <c r="AF9" s="61"/>
      <c r="AG9" s="61"/>
      <c r="AH9" s="61"/>
      <c r="AI9" s="61"/>
      <c r="AJ9" s="67" t="e">
        <f t="shared" si="5"/>
        <v>#DIV/0!</v>
      </c>
      <c r="AK9" s="68"/>
      <c r="AL9" s="61"/>
      <c r="AM9" s="61"/>
      <c r="AN9" s="61"/>
      <c r="AO9" s="61"/>
      <c r="AP9" s="67" t="e">
        <f t="shared" si="6"/>
        <v>#DIV/0!</v>
      </c>
      <c r="AQ9" s="61"/>
      <c r="AR9" s="61"/>
      <c r="AS9" s="61"/>
      <c r="AT9" s="61"/>
      <c r="AU9" s="61"/>
      <c r="AV9" s="67" t="e">
        <f t="shared" si="7"/>
        <v>#DIV/0!</v>
      </c>
      <c r="AW9" s="61"/>
      <c r="AX9" s="61"/>
      <c r="AY9" s="61"/>
      <c r="AZ9" s="61"/>
      <c r="BA9" s="61"/>
      <c r="BB9" s="67" t="e">
        <f t="shared" si="8"/>
        <v>#DIV/0!</v>
      </c>
      <c r="BC9" s="61"/>
      <c r="BD9" s="61"/>
      <c r="BE9" s="61"/>
      <c r="BF9" s="61"/>
      <c r="BG9" s="61"/>
      <c r="BH9" s="67" t="e">
        <f t="shared" si="9"/>
        <v>#DIV/0!</v>
      </c>
      <c r="BI9" s="107"/>
      <c r="BJ9" s="61"/>
      <c r="BK9" s="61"/>
      <c r="BL9" s="61"/>
      <c r="BM9" s="61"/>
      <c r="BN9" s="61"/>
      <c r="BO9" s="67">
        <f t="shared" si="10"/>
        <v>0</v>
      </c>
      <c r="BP9" s="61"/>
      <c r="BQ9" s="61"/>
      <c r="BR9" s="61"/>
      <c r="BS9" s="61"/>
      <c r="BT9" s="61"/>
      <c r="BU9" s="67">
        <f t="shared" si="11"/>
        <v>0</v>
      </c>
      <c r="BV9" s="61"/>
      <c r="BW9" s="61"/>
      <c r="BX9" s="61"/>
      <c r="BY9" s="61"/>
      <c r="BZ9" s="61"/>
      <c r="CA9" s="67">
        <f t="shared" si="12"/>
        <v>0</v>
      </c>
      <c r="CB9" s="61"/>
      <c r="CC9" s="61"/>
      <c r="CD9" s="61"/>
      <c r="CE9" s="61"/>
      <c r="CF9" s="61"/>
      <c r="CG9" s="67">
        <f t="shared" si="13"/>
        <v>0</v>
      </c>
    </row>
    <row r="10" spans="1:85" ht="16" x14ac:dyDescent="0.2">
      <c r="A10" s="7" t="s">
        <v>282</v>
      </c>
      <c r="B10" s="7">
        <v>1</v>
      </c>
      <c r="C10" s="14" t="s">
        <v>281</v>
      </c>
      <c r="D10" s="8">
        <v>1</v>
      </c>
      <c r="E10" s="7"/>
      <c r="F10" s="7">
        <v>1</v>
      </c>
      <c r="G10" s="59">
        <v>1</v>
      </c>
      <c r="H10" s="59">
        <f>_xlfn.XLOOKUP(C10,'[1]5A_CD'!$C:$C,'[1]5A_CD'!$J:$J,"")</f>
        <v>1</v>
      </c>
      <c r="I10" s="97">
        <f t="shared" si="14"/>
        <v>100</v>
      </c>
      <c r="J10" s="33">
        <f t="shared" si="0"/>
        <v>100</v>
      </c>
      <c r="K10" s="33">
        <f t="shared" si="1"/>
        <v>116.25</v>
      </c>
      <c r="L10" s="57"/>
      <c r="M10" s="45">
        <v>1</v>
      </c>
      <c r="N10" s="7">
        <v>1</v>
      </c>
      <c r="O10" s="7">
        <v>1</v>
      </c>
      <c r="P10" s="7">
        <v>1</v>
      </c>
      <c r="Q10" s="7">
        <v>1</v>
      </c>
      <c r="R10" s="48">
        <f t="shared" si="2"/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48">
        <f t="shared" si="3"/>
        <v>1</v>
      </c>
      <c r="Y10" s="45">
        <v>1</v>
      </c>
      <c r="Z10" s="7">
        <v>1</v>
      </c>
      <c r="AA10" s="7">
        <v>1</v>
      </c>
      <c r="AB10" s="7">
        <v>1</v>
      </c>
      <c r="AC10" s="7">
        <v>1</v>
      </c>
      <c r="AD10" s="48">
        <f t="shared" si="4"/>
        <v>1</v>
      </c>
      <c r="AE10" s="7">
        <v>0.75</v>
      </c>
      <c r="AF10" s="7">
        <v>0.75</v>
      </c>
      <c r="AG10" s="7">
        <v>0.75</v>
      </c>
      <c r="AH10" s="7">
        <v>0.75</v>
      </c>
      <c r="AI10" s="7">
        <v>0.75</v>
      </c>
      <c r="AJ10" s="48">
        <f t="shared" si="5"/>
        <v>0.75</v>
      </c>
      <c r="AK10" s="35">
        <v>1</v>
      </c>
      <c r="AL10" s="7">
        <v>1</v>
      </c>
      <c r="AM10" s="7">
        <v>1</v>
      </c>
      <c r="AN10" s="7">
        <v>1</v>
      </c>
      <c r="AO10" s="7">
        <v>1</v>
      </c>
      <c r="AP10" s="48">
        <f t="shared" si="6"/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48">
        <f t="shared" si="7"/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48">
        <f t="shared" si="8"/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48">
        <f t="shared" si="9"/>
        <v>1</v>
      </c>
      <c r="BI10" s="107"/>
      <c r="BJ10" s="7"/>
      <c r="BK10" s="7"/>
      <c r="BL10" s="7"/>
      <c r="BM10" s="7"/>
      <c r="BN10" s="7"/>
      <c r="BO10" s="48">
        <f t="shared" si="10"/>
        <v>0</v>
      </c>
      <c r="BP10" s="7"/>
      <c r="BQ10" s="7"/>
      <c r="BR10" s="7"/>
      <c r="BS10" s="7"/>
      <c r="BT10" s="7"/>
      <c r="BU10" s="48">
        <f t="shared" si="11"/>
        <v>0</v>
      </c>
      <c r="BV10" s="7"/>
      <c r="BW10" s="7"/>
      <c r="BX10" s="7"/>
      <c r="BY10" s="7"/>
      <c r="BZ10" s="7"/>
      <c r="CA10" s="48">
        <f t="shared" si="12"/>
        <v>0</v>
      </c>
      <c r="CB10" s="7"/>
      <c r="CC10" s="7"/>
      <c r="CD10" s="7"/>
      <c r="CE10" s="7"/>
      <c r="CF10" s="7"/>
      <c r="CG10" s="48">
        <f t="shared" si="13"/>
        <v>0</v>
      </c>
    </row>
    <row r="11" spans="1:85" ht="16" x14ac:dyDescent="0.2">
      <c r="A11" s="5" t="s">
        <v>280</v>
      </c>
      <c r="B11" s="5">
        <v>1</v>
      </c>
      <c r="C11" s="13" t="s">
        <v>279</v>
      </c>
      <c r="D11" s="6">
        <v>1</v>
      </c>
      <c r="E11" s="5"/>
      <c r="F11" s="5">
        <v>1</v>
      </c>
      <c r="G11" s="59">
        <v>1</v>
      </c>
      <c r="H11" s="59">
        <f>_xlfn.XLOOKUP(C11,'[1]5A_CD'!$C:$C,'[1]5A_CD'!$J:$J,"")</f>
        <v>1</v>
      </c>
      <c r="I11" s="97">
        <f t="shared" si="14"/>
        <v>100</v>
      </c>
      <c r="J11" s="33">
        <f t="shared" si="0"/>
        <v>100</v>
      </c>
      <c r="K11" s="33">
        <f t="shared" si="1"/>
        <v>102</v>
      </c>
      <c r="L11" s="57">
        <v>15</v>
      </c>
      <c r="M11" s="44">
        <v>1</v>
      </c>
      <c r="N11" s="5">
        <v>1</v>
      </c>
      <c r="O11" s="5">
        <v>1</v>
      </c>
      <c r="P11" s="5">
        <v>1</v>
      </c>
      <c r="Q11" s="5">
        <v>1</v>
      </c>
      <c r="R11" s="48">
        <f t="shared" si="2"/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48">
        <f t="shared" si="3"/>
        <v>1</v>
      </c>
      <c r="Y11" s="44">
        <v>1</v>
      </c>
      <c r="Z11" s="5">
        <v>1</v>
      </c>
      <c r="AA11" s="5">
        <v>1</v>
      </c>
      <c r="AB11" s="5">
        <v>1</v>
      </c>
      <c r="AC11" s="5">
        <v>1</v>
      </c>
      <c r="AD11" s="48">
        <f t="shared" si="4"/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48">
        <f t="shared" si="5"/>
        <v>1</v>
      </c>
      <c r="AK11" s="34">
        <v>1</v>
      </c>
      <c r="AL11" s="5">
        <v>1</v>
      </c>
      <c r="AM11" s="5">
        <v>1</v>
      </c>
      <c r="AN11" s="5">
        <v>0</v>
      </c>
      <c r="AO11" s="5">
        <v>0</v>
      </c>
      <c r="AP11" s="48">
        <f t="shared" si="6"/>
        <v>0.6</v>
      </c>
      <c r="AQ11" s="5">
        <v>1</v>
      </c>
      <c r="AR11" s="5">
        <v>1</v>
      </c>
      <c r="AS11" s="5">
        <v>1</v>
      </c>
      <c r="AT11" s="5">
        <v>1</v>
      </c>
      <c r="AU11" s="5">
        <v>0</v>
      </c>
      <c r="AV11" s="48">
        <f t="shared" si="7"/>
        <v>0.8</v>
      </c>
      <c r="AW11" s="5">
        <v>0.75</v>
      </c>
      <c r="AX11" s="5">
        <v>1</v>
      </c>
      <c r="AY11" s="5">
        <v>0.25</v>
      </c>
      <c r="AZ11" s="5">
        <v>0</v>
      </c>
      <c r="BA11" s="5">
        <v>0</v>
      </c>
      <c r="BB11" s="48">
        <f t="shared" si="8"/>
        <v>0.4</v>
      </c>
      <c r="BC11" s="5">
        <v>1</v>
      </c>
      <c r="BD11" s="5">
        <v>1</v>
      </c>
      <c r="BE11" s="5">
        <v>0</v>
      </c>
      <c r="BF11" s="5">
        <v>0</v>
      </c>
      <c r="BG11" s="5">
        <v>0</v>
      </c>
      <c r="BH11" s="48">
        <f t="shared" si="9"/>
        <v>0.4</v>
      </c>
      <c r="BI11" s="107"/>
      <c r="BJ11" s="5"/>
      <c r="BK11" s="5"/>
      <c r="BL11" s="5"/>
      <c r="BM11" s="5"/>
      <c r="BN11" s="5"/>
      <c r="BO11" s="48">
        <f t="shared" si="10"/>
        <v>0</v>
      </c>
      <c r="BP11" s="5"/>
      <c r="BQ11" s="5"/>
      <c r="BR11" s="5"/>
      <c r="BS11" s="5"/>
      <c r="BT11" s="5"/>
      <c r="BU11" s="48">
        <f t="shared" si="11"/>
        <v>0</v>
      </c>
      <c r="BV11" s="5"/>
      <c r="BW11" s="5"/>
      <c r="BX11" s="5"/>
      <c r="BY11" s="5"/>
      <c r="BZ11" s="5"/>
      <c r="CA11" s="48">
        <f t="shared" si="12"/>
        <v>0</v>
      </c>
      <c r="CB11" s="5"/>
      <c r="CC11" s="5"/>
      <c r="CD11" s="5"/>
      <c r="CE11" s="5"/>
      <c r="CF11" s="5"/>
      <c r="CG11" s="48">
        <f t="shared" si="13"/>
        <v>0</v>
      </c>
    </row>
    <row r="12" spans="1:85" ht="16" x14ac:dyDescent="0.2">
      <c r="A12" s="7" t="s">
        <v>278</v>
      </c>
      <c r="B12" s="7">
        <v>1</v>
      </c>
      <c r="C12" s="14" t="s">
        <v>277</v>
      </c>
      <c r="D12" s="8"/>
      <c r="E12" s="7">
        <v>1</v>
      </c>
      <c r="F12" s="7">
        <v>1</v>
      </c>
      <c r="G12" s="59">
        <v>1</v>
      </c>
      <c r="H12" s="59">
        <f>_xlfn.XLOOKUP(C12,'[1]5A_CD'!$C:$C,'[1]5A_CD'!$J:$J,"")</f>
        <v>1</v>
      </c>
      <c r="I12" s="97">
        <f t="shared" si="14"/>
        <v>100</v>
      </c>
      <c r="J12" s="33">
        <f t="shared" si="0"/>
        <v>100</v>
      </c>
      <c r="K12" s="33">
        <f t="shared" si="1"/>
        <v>101</v>
      </c>
      <c r="L12" s="57"/>
      <c r="M12" s="45">
        <v>1</v>
      </c>
      <c r="N12" s="7">
        <v>1</v>
      </c>
      <c r="O12" s="7">
        <v>1</v>
      </c>
      <c r="P12" s="7">
        <v>0</v>
      </c>
      <c r="Q12" s="7">
        <v>0</v>
      </c>
      <c r="R12" s="48">
        <f t="shared" si="2"/>
        <v>0.6</v>
      </c>
      <c r="S12" s="7">
        <v>1</v>
      </c>
      <c r="T12" s="7">
        <v>1</v>
      </c>
      <c r="U12" s="7">
        <v>1</v>
      </c>
      <c r="V12" s="7">
        <v>0</v>
      </c>
      <c r="W12" s="7">
        <v>0</v>
      </c>
      <c r="X12" s="48">
        <f t="shared" si="3"/>
        <v>0.6</v>
      </c>
      <c r="Y12" s="45">
        <v>1</v>
      </c>
      <c r="Z12" s="7">
        <v>1</v>
      </c>
      <c r="AA12" s="7">
        <v>1</v>
      </c>
      <c r="AB12" s="7">
        <v>0</v>
      </c>
      <c r="AC12" s="7">
        <v>1</v>
      </c>
      <c r="AD12" s="48">
        <f t="shared" si="4"/>
        <v>0.8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48">
        <f t="shared" si="5"/>
        <v>1</v>
      </c>
      <c r="AK12" s="35">
        <v>1</v>
      </c>
      <c r="AL12" s="7">
        <v>1</v>
      </c>
      <c r="AM12" s="7">
        <v>1</v>
      </c>
      <c r="AN12" s="7">
        <v>1</v>
      </c>
      <c r="AO12" s="7">
        <v>1</v>
      </c>
      <c r="AP12" s="48">
        <f t="shared" si="6"/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48">
        <f t="shared" si="7"/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48">
        <f t="shared" si="8"/>
        <v>1</v>
      </c>
      <c r="BC12" s="7">
        <v>1</v>
      </c>
      <c r="BD12" s="7">
        <v>0.5</v>
      </c>
      <c r="BE12" s="7">
        <v>0.5</v>
      </c>
      <c r="BF12" s="7">
        <v>0.5</v>
      </c>
      <c r="BG12" s="7">
        <v>0.5</v>
      </c>
      <c r="BH12" s="48">
        <f t="shared" si="9"/>
        <v>0.6</v>
      </c>
      <c r="BI12" s="107"/>
      <c r="BJ12" s="7"/>
      <c r="BK12" s="7"/>
      <c r="BL12" s="7"/>
      <c r="BM12" s="7"/>
      <c r="BN12" s="7"/>
      <c r="BO12" s="48">
        <f t="shared" si="10"/>
        <v>0</v>
      </c>
      <c r="BP12" s="7"/>
      <c r="BQ12" s="7"/>
      <c r="BR12" s="7"/>
      <c r="BS12" s="7"/>
      <c r="BT12" s="7"/>
      <c r="BU12" s="48">
        <f t="shared" si="11"/>
        <v>0</v>
      </c>
      <c r="BV12" s="7"/>
      <c r="BW12" s="7"/>
      <c r="BX12" s="7"/>
      <c r="BY12" s="7"/>
      <c r="BZ12" s="7"/>
      <c r="CA12" s="48">
        <f t="shared" si="12"/>
        <v>0</v>
      </c>
      <c r="CB12" s="7"/>
      <c r="CC12" s="7"/>
      <c r="CD12" s="7"/>
      <c r="CE12" s="7"/>
      <c r="CF12" s="7"/>
      <c r="CG12" s="48">
        <f t="shared" si="13"/>
        <v>0</v>
      </c>
    </row>
    <row r="13" spans="1:85" ht="16" x14ac:dyDescent="0.2">
      <c r="A13" s="5" t="s">
        <v>276</v>
      </c>
      <c r="B13" s="5">
        <v>1</v>
      </c>
      <c r="C13" s="53" t="s">
        <v>275</v>
      </c>
      <c r="D13" s="6">
        <v>1</v>
      </c>
      <c r="E13" s="5"/>
      <c r="F13" s="5">
        <v>1</v>
      </c>
      <c r="G13" s="59">
        <v>1</v>
      </c>
      <c r="H13" s="59">
        <f>_xlfn.XLOOKUP(C13,'[1]5A_CD'!$C:$C,'[1]5A_CD'!$J:$J,"")</f>
        <v>1</v>
      </c>
      <c r="I13" s="97">
        <f t="shared" si="14"/>
        <v>96.36</v>
      </c>
      <c r="J13" s="33">
        <f t="shared" si="0"/>
        <v>94.8</v>
      </c>
      <c r="K13" s="33">
        <f t="shared" si="1"/>
        <v>94.8</v>
      </c>
      <c r="L13" s="57"/>
      <c r="M13" s="44">
        <v>1</v>
      </c>
      <c r="N13" s="5">
        <v>1</v>
      </c>
      <c r="O13" s="5">
        <v>1</v>
      </c>
      <c r="P13" s="5">
        <v>1</v>
      </c>
      <c r="Q13" s="5">
        <v>1</v>
      </c>
      <c r="R13" s="48">
        <f t="shared" si="2"/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48">
        <f t="shared" si="3"/>
        <v>1</v>
      </c>
      <c r="Y13" s="44">
        <v>1</v>
      </c>
      <c r="Z13" s="5">
        <v>1</v>
      </c>
      <c r="AA13" s="5">
        <v>1</v>
      </c>
      <c r="AB13" s="5">
        <v>1</v>
      </c>
      <c r="AC13" s="5">
        <v>1</v>
      </c>
      <c r="AD13" s="48">
        <f t="shared" si="4"/>
        <v>1</v>
      </c>
      <c r="AE13" s="5">
        <v>1</v>
      </c>
      <c r="AF13" s="5">
        <v>0.8</v>
      </c>
      <c r="AG13" s="5">
        <v>0.8</v>
      </c>
      <c r="AH13" s="5">
        <v>0.8</v>
      </c>
      <c r="AI13" s="5">
        <v>0.8</v>
      </c>
      <c r="AJ13" s="48">
        <f t="shared" si="5"/>
        <v>0.84000000000000008</v>
      </c>
      <c r="AK13" s="34">
        <v>1</v>
      </c>
      <c r="AL13" s="5">
        <v>1</v>
      </c>
      <c r="AM13" s="5">
        <v>1</v>
      </c>
      <c r="AN13" s="5">
        <v>1</v>
      </c>
      <c r="AO13" s="5">
        <v>1</v>
      </c>
      <c r="AP13" s="48">
        <f t="shared" si="6"/>
        <v>1</v>
      </c>
      <c r="AQ13" s="5">
        <v>1</v>
      </c>
      <c r="AR13" s="5">
        <v>0.8</v>
      </c>
      <c r="AS13" s="5">
        <v>0.8</v>
      </c>
      <c r="AT13" s="5">
        <v>0.8</v>
      </c>
      <c r="AU13" s="5">
        <v>0.8</v>
      </c>
      <c r="AV13" s="48">
        <f t="shared" si="7"/>
        <v>0.84000000000000008</v>
      </c>
      <c r="AW13" s="5">
        <v>0.5</v>
      </c>
      <c r="AX13" s="5">
        <v>0.5</v>
      </c>
      <c r="AY13" s="5">
        <v>0.5</v>
      </c>
      <c r="AZ13" s="5">
        <v>0.5</v>
      </c>
      <c r="BA13" s="5">
        <v>0.5</v>
      </c>
      <c r="BB13" s="48">
        <f t="shared" si="8"/>
        <v>0.5</v>
      </c>
      <c r="BC13" s="5">
        <v>0.4</v>
      </c>
      <c r="BD13" s="5">
        <v>0.5</v>
      </c>
      <c r="BE13" s="5">
        <v>0.5</v>
      </c>
      <c r="BF13" s="5">
        <v>0.5</v>
      </c>
      <c r="BG13" s="5">
        <v>0.5</v>
      </c>
      <c r="BH13" s="48">
        <f t="shared" si="9"/>
        <v>0.48</v>
      </c>
      <c r="BI13" s="107"/>
      <c r="BJ13" s="5"/>
      <c r="BK13" s="5"/>
      <c r="BL13" s="5"/>
      <c r="BM13" s="5"/>
      <c r="BN13" s="5"/>
      <c r="BO13" s="48">
        <f t="shared" si="10"/>
        <v>0</v>
      </c>
      <c r="BP13" s="5"/>
      <c r="BQ13" s="5"/>
      <c r="BR13" s="5"/>
      <c r="BS13" s="5"/>
      <c r="BT13" s="5"/>
      <c r="BU13" s="48">
        <f t="shared" si="11"/>
        <v>0</v>
      </c>
      <c r="BV13" s="5"/>
      <c r="BW13" s="5"/>
      <c r="BX13" s="5"/>
      <c r="BY13" s="5"/>
      <c r="BZ13" s="5"/>
      <c r="CA13" s="48">
        <f t="shared" si="12"/>
        <v>0</v>
      </c>
      <c r="CB13" s="5"/>
      <c r="CC13" s="5"/>
      <c r="CD13" s="5"/>
      <c r="CE13" s="5"/>
      <c r="CF13" s="5"/>
      <c r="CG13" s="48">
        <f t="shared" si="13"/>
        <v>0</v>
      </c>
    </row>
    <row r="14" spans="1:85" ht="16" x14ac:dyDescent="0.2">
      <c r="A14" s="7" t="s">
        <v>274</v>
      </c>
      <c r="B14" s="7">
        <v>1</v>
      </c>
      <c r="C14" s="14" t="s">
        <v>273</v>
      </c>
      <c r="D14" s="8"/>
      <c r="E14" s="7"/>
      <c r="F14" s="7"/>
      <c r="G14" s="59">
        <v>1</v>
      </c>
      <c r="H14" s="59">
        <f>_xlfn.XLOOKUP(C14,'[1]5A_CD'!$C:$C,'[1]5A_CD'!$J:$J,"")</f>
        <v>1</v>
      </c>
      <c r="I14" s="97">
        <f t="shared" si="14"/>
        <v>44</v>
      </c>
      <c r="J14" s="33">
        <f t="shared" si="0"/>
        <v>20</v>
      </c>
      <c r="K14" s="33">
        <f t="shared" si="1"/>
        <v>20</v>
      </c>
      <c r="L14" s="57"/>
      <c r="M14" s="45">
        <v>1</v>
      </c>
      <c r="N14" s="7">
        <v>1</v>
      </c>
      <c r="O14" s="7">
        <v>1</v>
      </c>
      <c r="P14" s="7">
        <v>1</v>
      </c>
      <c r="Q14" s="7">
        <v>1</v>
      </c>
      <c r="R14" s="48">
        <f t="shared" si="2"/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48">
        <f t="shared" si="3"/>
        <v>1</v>
      </c>
      <c r="Y14" s="45">
        <v>0</v>
      </c>
      <c r="Z14" s="7">
        <v>0</v>
      </c>
      <c r="AA14" s="7">
        <v>0</v>
      </c>
      <c r="AB14" s="7">
        <v>0</v>
      </c>
      <c r="AC14" s="7">
        <v>0</v>
      </c>
      <c r="AD14" s="48">
        <f t="shared" si="4"/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48">
        <f t="shared" si="5"/>
        <v>0</v>
      </c>
      <c r="AK14" s="35">
        <v>0</v>
      </c>
      <c r="AL14" s="7">
        <v>0</v>
      </c>
      <c r="AM14" s="7">
        <v>0</v>
      </c>
      <c r="AN14" s="7">
        <v>0</v>
      </c>
      <c r="AO14" s="7">
        <v>0</v>
      </c>
      <c r="AP14" s="48">
        <f t="shared" si="6"/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48">
        <f t="shared" si="7"/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48">
        <f t="shared" si="8"/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48">
        <f t="shared" si="9"/>
        <v>0</v>
      </c>
      <c r="BI14" s="107"/>
      <c r="BJ14" s="7"/>
      <c r="BK14" s="7"/>
      <c r="BL14" s="7"/>
      <c r="BM14" s="7"/>
      <c r="BN14" s="7"/>
      <c r="BO14" s="48">
        <f t="shared" si="10"/>
        <v>0</v>
      </c>
      <c r="BP14" s="7"/>
      <c r="BQ14" s="7"/>
      <c r="BR14" s="7"/>
      <c r="BS14" s="7"/>
      <c r="BT14" s="7"/>
      <c r="BU14" s="48">
        <f t="shared" si="11"/>
        <v>0</v>
      </c>
      <c r="BV14" s="7"/>
      <c r="BW14" s="7"/>
      <c r="BX14" s="7"/>
      <c r="BY14" s="7"/>
      <c r="BZ14" s="7"/>
      <c r="CA14" s="48">
        <f t="shared" si="12"/>
        <v>0</v>
      </c>
      <c r="CB14" s="7"/>
      <c r="CC14" s="7"/>
      <c r="CD14" s="7"/>
      <c r="CE14" s="7"/>
      <c r="CF14" s="7"/>
      <c r="CG14" s="48">
        <f t="shared" si="13"/>
        <v>0</v>
      </c>
    </row>
    <row r="15" spans="1:85" ht="16" x14ac:dyDescent="0.2">
      <c r="A15" s="5" t="s">
        <v>272</v>
      </c>
      <c r="B15" s="5">
        <v>1</v>
      </c>
      <c r="C15" s="13" t="s">
        <v>271</v>
      </c>
      <c r="D15" s="6"/>
      <c r="E15" s="5">
        <v>1</v>
      </c>
      <c r="F15" s="5">
        <v>1</v>
      </c>
      <c r="G15" s="59">
        <v>1</v>
      </c>
      <c r="H15" s="59">
        <f>_xlfn.XLOOKUP(C15,'[1]5A_CD'!$C:$C,'[1]5A_CD'!$J:$J,"")</f>
        <v>1</v>
      </c>
      <c r="I15" s="97">
        <f t="shared" si="14"/>
        <v>46.45</v>
      </c>
      <c r="J15" s="33">
        <f t="shared" si="0"/>
        <v>23.5</v>
      </c>
      <c r="K15" s="33">
        <f t="shared" si="1"/>
        <v>23.5</v>
      </c>
      <c r="L15" s="57"/>
      <c r="M15" s="44">
        <v>1</v>
      </c>
      <c r="N15" s="5">
        <v>1</v>
      </c>
      <c r="O15" s="5">
        <v>1</v>
      </c>
      <c r="P15" s="5">
        <v>1</v>
      </c>
      <c r="Q15" s="5">
        <v>1</v>
      </c>
      <c r="R15" s="48">
        <f t="shared" si="2"/>
        <v>1</v>
      </c>
      <c r="S15" s="5">
        <v>0.25</v>
      </c>
      <c r="T15" s="5">
        <v>0.5</v>
      </c>
      <c r="U15" s="5">
        <v>0</v>
      </c>
      <c r="V15" s="5">
        <v>0</v>
      </c>
      <c r="W15" s="5">
        <v>0</v>
      </c>
      <c r="X15" s="48">
        <f t="shared" si="3"/>
        <v>0.15</v>
      </c>
      <c r="Y15" s="44">
        <v>0</v>
      </c>
      <c r="Z15" s="5">
        <v>0</v>
      </c>
      <c r="AA15" s="5">
        <v>0</v>
      </c>
      <c r="AB15" s="5">
        <v>0</v>
      </c>
      <c r="AC15" s="5">
        <v>0</v>
      </c>
      <c r="AD15" s="48">
        <f t="shared" si="4"/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48">
        <f t="shared" si="5"/>
        <v>0</v>
      </c>
      <c r="AK15" s="34">
        <v>1</v>
      </c>
      <c r="AL15" s="5">
        <v>1</v>
      </c>
      <c r="AM15" s="5">
        <v>1</v>
      </c>
      <c r="AN15" s="5">
        <v>0</v>
      </c>
      <c r="AO15" s="5">
        <v>0</v>
      </c>
      <c r="AP15" s="48">
        <f t="shared" si="6"/>
        <v>0.6</v>
      </c>
      <c r="AQ15" s="5">
        <v>0</v>
      </c>
      <c r="AR15" s="5">
        <v>1</v>
      </c>
      <c r="AS15" s="5">
        <v>0</v>
      </c>
      <c r="AT15" s="5">
        <v>0</v>
      </c>
      <c r="AU15" s="5">
        <v>0</v>
      </c>
      <c r="AV15" s="48">
        <f t="shared" si="7"/>
        <v>0.2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48">
        <f t="shared" si="8"/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48">
        <f t="shared" si="9"/>
        <v>0</v>
      </c>
      <c r="BI15" s="107"/>
      <c r="BJ15" s="5"/>
      <c r="BK15" s="5"/>
      <c r="BL15" s="5"/>
      <c r="BM15" s="5"/>
      <c r="BN15" s="5"/>
      <c r="BO15" s="48">
        <f t="shared" si="10"/>
        <v>0</v>
      </c>
      <c r="BP15" s="5"/>
      <c r="BQ15" s="5"/>
      <c r="BR15" s="5"/>
      <c r="BS15" s="5"/>
      <c r="BT15" s="5"/>
      <c r="BU15" s="48">
        <f t="shared" si="11"/>
        <v>0</v>
      </c>
      <c r="BV15" s="5"/>
      <c r="BW15" s="5"/>
      <c r="BX15" s="5"/>
      <c r="BY15" s="5"/>
      <c r="BZ15" s="5"/>
      <c r="CA15" s="48">
        <f t="shared" si="12"/>
        <v>0</v>
      </c>
      <c r="CB15" s="5"/>
      <c r="CC15" s="5"/>
      <c r="CD15" s="5"/>
      <c r="CE15" s="5"/>
      <c r="CF15" s="5"/>
      <c r="CG15" s="48">
        <f t="shared" si="13"/>
        <v>0</v>
      </c>
    </row>
    <row r="16" spans="1:85" ht="16" x14ac:dyDescent="0.2">
      <c r="A16" s="7" t="s">
        <v>270</v>
      </c>
      <c r="B16" s="7">
        <v>1</v>
      </c>
      <c r="C16" s="14" t="s">
        <v>269</v>
      </c>
      <c r="D16" s="8">
        <v>1</v>
      </c>
      <c r="E16" s="7"/>
      <c r="F16" s="7">
        <v>1</v>
      </c>
      <c r="G16" s="59">
        <v>1</v>
      </c>
      <c r="H16" s="59">
        <f>_xlfn.XLOOKUP(C16,'[1]5A_CD'!$C:$C,'[1]5A_CD'!$J:$J,"")</f>
        <v>1</v>
      </c>
      <c r="I16" s="97">
        <f t="shared" si="14"/>
        <v>63.074999999999996</v>
      </c>
      <c r="J16" s="33">
        <f t="shared" si="0"/>
        <v>47.25</v>
      </c>
      <c r="K16" s="33">
        <f t="shared" si="1"/>
        <v>47.25</v>
      </c>
      <c r="L16" s="57">
        <v>9.75</v>
      </c>
      <c r="M16" s="45">
        <v>0.5</v>
      </c>
      <c r="N16" s="7">
        <v>0.5</v>
      </c>
      <c r="O16" s="7">
        <v>0.5</v>
      </c>
      <c r="P16" s="7">
        <v>0.5</v>
      </c>
      <c r="Q16" s="7">
        <v>0.5</v>
      </c>
      <c r="R16" s="48">
        <f t="shared" si="2"/>
        <v>0.5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48">
        <f t="shared" si="3"/>
        <v>1</v>
      </c>
      <c r="Y16" s="45">
        <v>0</v>
      </c>
      <c r="Z16" s="7">
        <v>0</v>
      </c>
      <c r="AA16" s="7">
        <v>0</v>
      </c>
      <c r="AB16" s="7">
        <v>0</v>
      </c>
      <c r="AC16" s="7">
        <v>0</v>
      </c>
      <c r="AD16" s="48">
        <f t="shared" si="4"/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48">
        <f t="shared" si="5"/>
        <v>0</v>
      </c>
      <c r="AK16" s="35">
        <v>1</v>
      </c>
      <c r="AL16" s="7">
        <v>1</v>
      </c>
      <c r="AM16" s="7">
        <v>1</v>
      </c>
      <c r="AN16" s="7">
        <v>1</v>
      </c>
      <c r="AO16" s="7">
        <v>1</v>
      </c>
      <c r="AP16" s="48">
        <f t="shared" si="6"/>
        <v>1</v>
      </c>
      <c r="AQ16" s="7">
        <v>0.5</v>
      </c>
      <c r="AR16" s="7">
        <v>0.5</v>
      </c>
      <c r="AS16" s="7">
        <v>0.5</v>
      </c>
      <c r="AT16" s="7">
        <v>0.5</v>
      </c>
      <c r="AU16" s="7">
        <v>0.5</v>
      </c>
      <c r="AV16" s="48">
        <f t="shared" si="7"/>
        <v>0.5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48">
        <f t="shared" si="8"/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48">
        <f t="shared" si="9"/>
        <v>0</v>
      </c>
      <c r="BI16" s="107"/>
      <c r="BJ16" s="7">
        <v>0.75</v>
      </c>
      <c r="BK16" s="7">
        <v>1</v>
      </c>
      <c r="BL16" s="7">
        <v>0.5</v>
      </c>
      <c r="BM16" s="7">
        <v>0.5</v>
      </c>
      <c r="BN16" s="7">
        <v>0.5</v>
      </c>
      <c r="BO16" s="48">
        <f>SUM(BJ16:BN16)/5*15</f>
        <v>9.75</v>
      </c>
      <c r="BP16" s="7"/>
      <c r="BQ16" s="7"/>
      <c r="BR16" s="7"/>
      <c r="BS16" s="7"/>
      <c r="BT16" s="7"/>
      <c r="BU16" s="48">
        <f t="shared" si="11"/>
        <v>0</v>
      </c>
      <c r="BV16" s="7"/>
      <c r="BW16" s="7"/>
      <c r="BX16" s="7"/>
      <c r="BY16" s="7"/>
      <c r="BZ16" s="7"/>
      <c r="CA16" s="48">
        <f t="shared" si="12"/>
        <v>0</v>
      </c>
      <c r="CB16" s="7"/>
      <c r="CC16" s="7"/>
      <c r="CD16" s="7"/>
      <c r="CE16" s="7"/>
      <c r="CF16" s="7"/>
      <c r="CG16" s="48">
        <f t="shared" si="13"/>
        <v>0</v>
      </c>
    </row>
    <row r="17" spans="1:85" s="70" customFormat="1" ht="16" x14ac:dyDescent="0.2">
      <c r="A17" s="61" t="s">
        <v>268</v>
      </c>
      <c r="B17" s="61">
        <v>1</v>
      </c>
      <c r="C17" s="62" t="s">
        <v>267</v>
      </c>
      <c r="D17" s="72">
        <v>1</v>
      </c>
      <c r="E17" s="61"/>
      <c r="F17" s="61"/>
      <c r="G17" s="61"/>
      <c r="H17" s="59"/>
      <c r="I17" s="99" t="e">
        <f t="shared" si="14"/>
        <v>#DIV/0!</v>
      </c>
      <c r="J17" s="64" t="e">
        <f t="shared" si="0"/>
        <v>#DIV/0!</v>
      </c>
      <c r="K17" s="64" t="e">
        <f t="shared" si="1"/>
        <v>#DIV/0!</v>
      </c>
      <c r="L17" s="65"/>
      <c r="M17" s="66"/>
      <c r="N17" s="61"/>
      <c r="O17" s="61"/>
      <c r="P17" s="61"/>
      <c r="Q17" s="61"/>
      <c r="R17" s="67" t="e">
        <f t="shared" si="2"/>
        <v>#DIV/0!</v>
      </c>
      <c r="S17" s="61"/>
      <c r="T17" s="61"/>
      <c r="U17" s="61"/>
      <c r="V17" s="61"/>
      <c r="W17" s="61"/>
      <c r="X17" s="67" t="e">
        <f t="shared" si="3"/>
        <v>#DIV/0!</v>
      </c>
      <c r="Y17" s="66"/>
      <c r="Z17" s="61"/>
      <c r="AA17" s="61"/>
      <c r="AB17" s="61"/>
      <c r="AC17" s="61"/>
      <c r="AD17" s="67" t="e">
        <f t="shared" si="4"/>
        <v>#DIV/0!</v>
      </c>
      <c r="AE17" s="61"/>
      <c r="AF17" s="61"/>
      <c r="AG17" s="61"/>
      <c r="AH17" s="61"/>
      <c r="AI17" s="61"/>
      <c r="AJ17" s="67" t="e">
        <f t="shared" si="5"/>
        <v>#DIV/0!</v>
      </c>
      <c r="AK17" s="68"/>
      <c r="AL17" s="61"/>
      <c r="AM17" s="61"/>
      <c r="AN17" s="61"/>
      <c r="AO17" s="61"/>
      <c r="AP17" s="67" t="e">
        <f t="shared" si="6"/>
        <v>#DIV/0!</v>
      </c>
      <c r="AQ17" s="61"/>
      <c r="AR17" s="61"/>
      <c r="AS17" s="61"/>
      <c r="AT17" s="61"/>
      <c r="AU17" s="61"/>
      <c r="AV17" s="67" t="e">
        <f t="shared" si="7"/>
        <v>#DIV/0!</v>
      </c>
      <c r="AW17" s="61"/>
      <c r="AX17" s="61"/>
      <c r="AY17" s="61"/>
      <c r="AZ17" s="61"/>
      <c r="BA17" s="61"/>
      <c r="BB17" s="67" t="e">
        <f t="shared" si="8"/>
        <v>#DIV/0!</v>
      </c>
      <c r="BC17" s="61"/>
      <c r="BD17" s="61"/>
      <c r="BE17" s="61"/>
      <c r="BF17" s="61"/>
      <c r="BG17" s="61"/>
      <c r="BH17" s="67" t="e">
        <f t="shared" si="9"/>
        <v>#DIV/0!</v>
      </c>
      <c r="BI17" s="107"/>
      <c r="BJ17" s="61"/>
      <c r="BK17" s="61"/>
      <c r="BL17" s="61"/>
      <c r="BM17" s="61"/>
      <c r="BN17" s="61"/>
      <c r="BO17" s="67">
        <f t="shared" si="10"/>
        <v>0</v>
      </c>
      <c r="BP17" s="61"/>
      <c r="BQ17" s="61"/>
      <c r="BR17" s="61"/>
      <c r="BS17" s="61"/>
      <c r="BT17" s="61"/>
      <c r="BU17" s="67">
        <f t="shared" si="11"/>
        <v>0</v>
      </c>
      <c r="BV17" s="61"/>
      <c r="BW17" s="61"/>
      <c r="BX17" s="61"/>
      <c r="BY17" s="61"/>
      <c r="BZ17" s="61"/>
      <c r="CA17" s="67">
        <f t="shared" si="12"/>
        <v>0</v>
      </c>
      <c r="CB17" s="61"/>
      <c r="CC17" s="61"/>
      <c r="CD17" s="61"/>
      <c r="CE17" s="61"/>
      <c r="CF17" s="61"/>
      <c r="CG17" s="67">
        <f t="shared" si="13"/>
        <v>0</v>
      </c>
    </row>
    <row r="18" spans="1:85" ht="16" x14ac:dyDescent="0.2">
      <c r="A18" s="7" t="s">
        <v>266</v>
      </c>
      <c r="B18" s="7">
        <v>1</v>
      </c>
      <c r="C18" s="14" t="s">
        <v>265</v>
      </c>
      <c r="D18" s="8">
        <v>1</v>
      </c>
      <c r="E18" s="7"/>
      <c r="F18" s="7">
        <v>1</v>
      </c>
      <c r="G18" s="59">
        <v>1</v>
      </c>
      <c r="H18" s="59">
        <f>_xlfn.XLOOKUP(C18,'[1]5A_CD'!$C:$C,'[1]5A_CD'!$J:$J,"")</f>
        <v>1</v>
      </c>
      <c r="I18" s="97">
        <f t="shared" si="14"/>
        <v>100</v>
      </c>
      <c r="J18" s="33">
        <f t="shared" si="0"/>
        <v>100</v>
      </c>
      <c r="K18" s="33">
        <f t="shared" si="1"/>
        <v>101.9</v>
      </c>
      <c r="L18" s="57">
        <v>24</v>
      </c>
      <c r="M18" s="45">
        <v>1</v>
      </c>
      <c r="N18" s="7">
        <v>1</v>
      </c>
      <c r="O18" s="7">
        <v>1</v>
      </c>
      <c r="P18" s="7">
        <v>1</v>
      </c>
      <c r="Q18" s="7">
        <v>1</v>
      </c>
      <c r="R18" s="48">
        <f t="shared" si="2"/>
        <v>1</v>
      </c>
      <c r="S18" s="7">
        <v>1</v>
      </c>
      <c r="T18" s="7">
        <v>0.75</v>
      </c>
      <c r="U18" s="7">
        <v>0.5</v>
      </c>
      <c r="V18" s="7">
        <v>0.5</v>
      </c>
      <c r="W18" s="7">
        <v>0.5</v>
      </c>
      <c r="X18" s="48">
        <f t="shared" si="3"/>
        <v>0.65</v>
      </c>
      <c r="Y18" s="45">
        <v>1</v>
      </c>
      <c r="Z18" s="7">
        <v>1</v>
      </c>
      <c r="AA18" s="7">
        <v>1</v>
      </c>
      <c r="AB18" s="7">
        <v>1</v>
      </c>
      <c r="AC18" s="7">
        <v>1</v>
      </c>
      <c r="AD18" s="48">
        <f t="shared" si="4"/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48">
        <f t="shared" si="5"/>
        <v>1</v>
      </c>
      <c r="AK18" s="35">
        <v>0.8</v>
      </c>
      <c r="AL18" s="7">
        <v>1</v>
      </c>
      <c r="AM18" s="7">
        <v>1</v>
      </c>
      <c r="AN18" s="7">
        <v>0</v>
      </c>
      <c r="AO18" s="7">
        <v>0</v>
      </c>
      <c r="AP18" s="48">
        <f t="shared" si="6"/>
        <v>0.55999999999999994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48">
        <f t="shared" si="7"/>
        <v>1</v>
      </c>
      <c r="AW18" s="7">
        <v>0.5</v>
      </c>
      <c r="AX18" s="7">
        <v>0.5</v>
      </c>
      <c r="AY18" s="7">
        <v>0</v>
      </c>
      <c r="AZ18" s="7">
        <v>0</v>
      </c>
      <c r="BA18" s="7">
        <v>0</v>
      </c>
      <c r="BB18" s="48">
        <f t="shared" si="8"/>
        <v>0.2</v>
      </c>
      <c r="BC18" s="7">
        <v>0.5</v>
      </c>
      <c r="BD18" s="7">
        <v>0.5</v>
      </c>
      <c r="BE18" s="7">
        <v>0</v>
      </c>
      <c r="BF18" s="7">
        <v>0</v>
      </c>
      <c r="BG18" s="7">
        <v>0</v>
      </c>
      <c r="BH18" s="48">
        <f t="shared" si="9"/>
        <v>0.2</v>
      </c>
      <c r="BI18" s="107"/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48">
        <f t="shared" si="10"/>
        <v>1</v>
      </c>
      <c r="BP18" s="7">
        <v>1</v>
      </c>
      <c r="BQ18" s="7">
        <v>1</v>
      </c>
      <c r="BR18" s="7">
        <v>1</v>
      </c>
      <c r="BS18" s="7">
        <v>0</v>
      </c>
      <c r="BT18" s="7">
        <v>0</v>
      </c>
      <c r="BU18" s="48">
        <f>SUM(BP18:BT18)/5*15</f>
        <v>9</v>
      </c>
      <c r="BV18" s="7"/>
      <c r="BW18" s="7"/>
      <c r="BX18" s="7"/>
      <c r="BY18" s="7"/>
      <c r="BZ18" s="7"/>
      <c r="CA18" s="48">
        <f t="shared" si="12"/>
        <v>0</v>
      </c>
      <c r="CB18" s="7"/>
      <c r="CC18" s="7"/>
      <c r="CD18" s="7"/>
      <c r="CE18" s="7"/>
      <c r="CF18" s="7"/>
      <c r="CG18" s="48">
        <f t="shared" si="13"/>
        <v>0</v>
      </c>
    </row>
    <row r="19" spans="1:85" ht="16" x14ac:dyDescent="0.2">
      <c r="A19" s="5" t="s">
        <v>264</v>
      </c>
      <c r="B19" s="5">
        <v>1</v>
      </c>
      <c r="C19" s="13" t="s">
        <v>263</v>
      </c>
      <c r="D19" s="6">
        <v>1</v>
      </c>
      <c r="E19" s="5"/>
      <c r="F19" s="5">
        <v>1</v>
      </c>
      <c r="G19" s="59">
        <v>1</v>
      </c>
      <c r="H19" s="59">
        <f>_xlfn.XLOOKUP(C19,'[1]5A_CD'!$C:$C,'[1]5A_CD'!$J:$J,"")</f>
        <v>0.2857142857142857</v>
      </c>
      <c r="I19" s="97">
        <f t="shared" si="14"/>
        <v>81.657142857142858</v>
      </c>
      <c r="J19" s="33">
        <f t="shared" si="0"/>
        <v>84</v>
      </c>
      <c r="K19" s="33">
        <f t="shared" si="1"/>
        <v>84</v>
      </c>
      <c r="L19" s="57"/>
      <c r="M19" s="44">
        <v>1</v>
      </c>
      <c r="N19" s="5">
        <v>1</v>
      </c>
      <c r="O19" s="5">
        <v>1</v>
      </c>
      <c r="P19" s="5">
        <v>1</v>
      </c>
      <c r="Q19" s="5">
        <v>1</v>
      </c>
      <c r="R19" s="48">
        <f t="shared" si="2"/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48">
        <f t="shared" si="3"/>
        <v>1</v>
      </c>
      <c r="Y19" s="44">
        <v>1</v>
      </c>
      <c r="Z19" s="5">
        <v>1</v>
      </c>
      <c r="AA19" s="5">
        <v>1</v>
      </c>
      <c r="AB19" s="5">
        <v>1</v>
      </c>
      <c r="AC19" s="5">
        <v>1</v>
      </c>
      <c r="AD19" s="48">
        <f t="shared" si="4"/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48">
        <f t="shared" si="5"/>
        <v>1</v>
      </c>
      <c r="AK19" s="34">
        <v>1</v>
      </c>
      <c r="AL19" s="5">
        <v>1</v>
      </c>
      <c r="AM19" s="5">
        <v>1</v>
      </c>
      <c r="AN19" s="5">
        <v>1</v>
      </c>
      <c r="AO19" s="5">
        <v>1</v>
      </c>
      <c r="AP19" s="48">
        <f t="shared" si="6"/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48">
        <f t="shared" si="7"/>
        <v>1</v>
      </c>
      <c r="AW19" s="5">
        <v>0.5</v>
      </c>
      <c r="AX19" s="5">
        <v>0.5</v>
      </c>
      <c r="AY19" s="5">
        <v>0</v>
      </c>
      <c r="AZ19" s="5">
        <v>0</v>
      </c>
      <c r="BA19" s="5">
        <v>0</v>
      </c>
      <c r="BB19" s="48">
        <f t="shared" si="8"/>
        <v>0.2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48">
        <f t="shared" si="9"/>
        <v>0</v>
      </c>
      <c r="BI19" s="107"/>
      <c r="BJ19" s="5"/>
      <c r="BK19" s="5"/>
      <c r="BL19" s="5"/>
      <c r="BM19" s="5"/>
      <c r="BN19" s="5"/>
      <c r="BO19" s="48">
        <f t="shared" si="10"/>
        <v>0</v>
      </c>
      <c r="BP19" s="5"/>
      <c r="BQ19" s="5"/>
      <c r="BR19" s="5"/>
      <c r="BS19" s="5"/>
      <c r="BT19" s="5"/>
      <c r="BU19" s="48">
        <f t="shared" si="11"/>
        <v>0</v>
      </c>
      <c r="BV19" s="5"/>
      <c r="BW19" s="5"/>
      <c r="BX19" s="5"/>
      <c r="BY19" s="5"/>
      <c r="BZ19" s="5"/>
      <c r="CA19" s="48">
        <f t="shared" si="12"/>
        <v>0</v>
      </c>
      <c r="CB19" s="5"/>
      <c r="CC19" s="5"/>
      <c r="CD19" s="5"/>
      <c r="CE19" s="5"/>
      <c r="CF19" s="5"/>
      <c r="CG19" s="48">
        <f t="shared" si="13"/>
        <v>0</v>
      </c>
    </row>
    <row r="20" spans="1:85" s="70" customFormat="1" ht="16" x14ac:dyDescent="0.2">
      <c r="A20" s="61" t="s">
        <v>262</v>
      </c>
      <c r="B20" s="61">
        <v>1</v>
      </c>
      <c r="C20" s="62" t="s">
        <v>261</v>
      </c>
      <c r="D20" s="72"/>
      <c r="E20" s="61"/>
      <c r="F20" s="61">
        <v>1</v>
      </c>
      <c r="G20" s="61"/>
      <c r="H20" s="59"/>
      <c r="I20" s="99" t="e">
        <f t="shared" si="14"/>
        <v>#DIV/0!</v>
      </c>
      <c r="J20" s="64" t="e">
        <f t="shared" si="0"/>
        <v>#DIV/0!</v>
      </c>
      <c r="K20" s="64" t="e">
        <f t="shared" si="1"/>
        <v>#DIV/0!</v>
      </c>
      <c r="L20" s="65"/>
      <c r="M20" s="66"/>
      <c r="N20" s="61"/>
      <c r="O20" s="61"/>
      <c r="P20" s="61"/>
      <c r="Q20" s="61"/>
      <c r="R20" s="67" t="e">
        <f t="shared" si="2"/>
        <v>#DIV/0!</v>
      </c>
      <c r="S20" s="61"/>
      <c r="T20" s="61"/>
      <c r="U20" s="61"/>
      <c r="V20" s="61"/>
      <c r="W20" s="61"/>
      <c r="X20" s="67" t="e">
        <f t="shared" si="3"/>
        <v>#DIV/0!</v>
      </c>
      <c r="Y20" s="66"/>
      <c r="Z20" s="61"/>
      <c r="AA20" s="61"/>
      <c r="AB20" s="61"/>
      <c r="AC20" s="61"/>
      <c r="AD20" s="67" t="e">
        <f t="shared" si="4"/>
        <v>#DIV/0!</v>
      </c>
      <c r="AE20" s="61"/>
      <c r="AF20" s="61"/>
      <c r="AG20" s="61"/>
      <c r="AH20" s="61"/>
      <c r="AI20" s="61"/>
      <c r="AJ20" s="67" t="e">
        <f t="shared" si="5"/>
        <v>#DIV/0!</v>
      </c>
      <c r="AK20" s="68"/>
      <c r="AL20" s="61"/>
      <c r="AM20" s="61"/>
      <c r="AN20" s="61"/>
      <c r="AO20" s="61"/>
      <c r="AP20" s="67" t="e">
        <f t="shared" si="6"/>
        <v>#DIV/0!</v>
      </c>
      <c r="AQ20" s="61"/>
      <c r="AR20" s="61"/>
      <c r="AS20" s="61"/>
      <c r="AT20" s="61"/>
      <c r="AU20" s="61"/>
      <c r="AV20" s="67" t="e">
        <f t="shared" si="7"/>
        <v>#DIV/0!</v>
      </c>
      <c r="AW20" s="61"/>
      <c r="AX20" s="61"/>
      <c r="AY20" s="61"/>
      <c r="AZ20" s="61"/>
      <c r="BA20" s="61"/>
      <c r="BB20" s="67" t="e">
        <f t="shared" si="8"/>
        <v>#DIV/0!</v>
      </c>
      <c r="BC20" s="61"/>
      <c r="BD20" s="61"/>
      <c r="BE20" s="61"/>
      <c r="BF20" s="61"/>
      <c r="BG20" s="61"/>
      <c r="BH20" s="67" t="e">
        <f t="shared" si="9"/>
        <v>#DIV/0!</v>
      </c>
      <c r="BI20" s="107"/>
      <c r="BJ20" s="61"/>
      <c r="BK20" s="61"/>
      <c r="BL20" s="61"/>
      <c r="BM20" s="61"/>
      <c r="BN20" s="61"/>
      <c r="BO20" s="67">
        <f t="shared" si="10"/>
        <v>0</v>
      </c>
      <c r="BP20" s="61"/>
      <c r="BQ20" s="61"/>
      <c r="BR20" s="61"/>
      <c r="BS20" s="61"/>
      <c r="BT20" s="61"/>
      <c r="BU20" s="67">
        <f t="shared" si="11"/>
        <v>0</v>
      </c>
      <c r="BV20" s="61"/>
      <c r="BW20" s="61"/>
      <c r="BX20" s="61"/>
      <c r="BY20" s="61"/>
      <c r="BZ20" s="61"/>
      <c r="CA20" s="67">
        <f t="shared" si="12"/>
        <v>0</v>
      </c>
      <c r="CB20" s="61"/>
      <c r="CC20" s="61"/>
      <c r="CD20" s="61"/>
      <c r="CE20" s="61"/>
      <c r="CF20" s="61"/>
      <c r="CG20" s="67">
        <f t="shared" si="13"/>
        <v>0</v>
      </c>
    </row>
    <row r="21" spans="1:85" ht="16" x14ac:dyDescent="0.2">
      <c r="A21" s="5" t="s">
        <v>260</v>
      </c>
      <c r="B21" s="5">
        <v>1</v>
      </c>
      <c r="C21" s="53" t="s">
        <v>259</v>
      </c>
      <c r="D21" s="6">
        <v>1</v>
      </c>
      <c r="E21" s="5"/>
      <c r="F21" s="5"/>
      <c r="G21" s="59">
        <v>1</v>
      </c>
      <c r="H21" s="59">
        <f>_xlfn.XLOOKUP(C21,'[1]5A_CD'!$C:$C,'[1]5A_CD'!$J:$J,"")</f>
        <v>1</v>
      </c>
      <c r="I21" s="97">
        <f t="shared" si="14"/>
        <v>93</v>
      </c>
      <c r="J21" s="33">
        <f t="shared" si="0"/>
        <v>90</v>
      </c>
      <c r="K21" s="33">
        <f t="shared" si="1"/>
        <v>90</v>
      </c>
      <c r="L21" s="57"/>
      <c r="M21" s="44">
        <v>1</v>
      </c>
      <c r="N21" s="5">
        <v>1</v>
      </c>
      <c r="O21" s="5">
        <v>1</v>
      </c>
      <c r="P21" s="5">
        <v>1</v>
      </c>
      <c r="Q21" s="5">
        <v>1</v>
      </c>
      <c r="R21" s="48">
        <f t="shared" si="2"/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48">
        <f t="shared" si="3"/>
        <v>1</v>
      </c>
      <c r="Y21" s="44">
        <v>1</v>
      </c>
      <c r="Z21" s="5">
        <v>1</v>
      </c>
      <c r="AA21" s="5">
        <v>1</v>
      </c>
      <c r="AB21" s="5">
        <v>1</v>
      </c>
      <c r="AC21" s="5">
        <v>1</v>
      </c>
      <c r="AD21" s="48">
        <f t="shared" si="4"/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48">
        <f t="shared" si="5"/>
        <v>1</v>
      </c>
      <c r="AK21" s="34">
        <v>1</v>
      </c>
      <c r="AL21" s="5">
        <v>1</v>
      </c>
      <c r="AM21" s="5">
        <v>1</v>
      </c>
      <c r="AN21" s="5">
        <v>1</v>
      </c>
      <c r="AO21" s="5">
        <v>1</v>
      </c>
      <c r="AP21" s="48">
        <f t="shared" si="6"/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48">
        <f t="shared" si="7"/>
        <v>1</v>
      </c>
      <c r="AW21" s="5">
        <v>0.25</v>
      </c>
      <c r="AX21" s="5">
        <v>0.75</v>
      </c>
      <c r="AY21" s="5">
        <v>0.25</v>
      </c>
      <c r="AZ21" s="5">
        <v>0</v>
      </c>
      <c r="BA21" s="5">
        <v>0</v>
      </c>
      <c r="BB21" s="48">
        <f t="shared" si="8"/>
        <v>0.25</v>
      </c>
      <c r="BC21" s="5">
        <v>0.25</v>
      </c>
      <c r="BD21" s="5">
        <v>0.75</v>
      </c>
      <c r="BE21" s="5">
        <v>0.25</v>
      </c>
      <c r="BF21" s="5">
        <v>0</v>
      </c>
      <c r="BG21" s="5">
        <v>0</v>
      </c>
      <c r="BH21" s="48">
        <f t="shared" si="9"/>
        <v>0.25</v>
      </c>
      <c r="BI21" s="107"/>
      <c r="BJ21" s="5"/>
      <c r="BK21" s="5"/>
      <c r="BL21" s="5"/>
      <c r="BM21" s="5"/>
      <c r="BN21" s="5"/>
      <c r="BO21" s="48">
        <f t="shared" si="10"/>
        <v>0</v>
      </c>
      <c r="BP21" s="5"/>
      <c r="BQ21" s="5"/>
      <c r="BR21" s="5"/>
      <c r="BS21" s="5"/>
      <c r="BT21" s="5"/>
      <c r="BU21" s="48">
        <f t="shared" si="11"/>
        <v>0</v>
      </c>
      <c r="BV21" s="5"/>
      <c r="BW21" s="5"/>
      <c r="BX21" s="5"/>
      <c r="BY21" s="5"/>
      <c r="BZ21" s="5"/>
      <c r="CA21" s="48">
        <f t="shared" si="12"/>
        <v>0</v>
      </c>
      <c r="CB21" s="5"/>
      <c r="CC21" s="5"/>
      <c r="CD21" s="5"/>
      <c r="CE21" s="5"/>
      <c r="CF21" s="5"/>
      <c r="CG21" s="48">
        <f t="shared" si="13"/>
        <v>0</v>
      </c>
    </row>
    <row r="22" spans="1:85" s="70" customFormat="1" ht="16" x14ac:dyDescent="0.2">
      <c r="A22" s="61" t="s">
        <v>258</v>
      </c>
      <c r="B22" s="61">
        <v>1</v>
      </c>
      <c r="C22" s="62" t="s">
        <v>257</v>
      </c>
      <c r="D22" s="72"/>
      <c r="E22" s="61"/>
      <c r="F22" s="61"/>
      <c r="G22" s="61"/>
      <c r="H22" s="59"/>
      <c r="I22" s="99" t="e">
        <f t="shared" si="14"/>
        <v>#DIV/0!</v>
      </c>
      <c r="J22" s="64" t="e">
        <f t="shared" si="0"/>
        <v>#DIV/0!</v>
      </c>
      <c r="K22" s="64" t="e">
        <f t="shared" si="1"/>
        <v>#DIV/0!</v>
      </c>
      <c r="L22" s="65"/>
      <c r="M22" s="66"/>
      <c r="N22" s="61"/>
      <c r="O22" s="61"/>
      <c r="P22" s="61"/>
      <c r="Q22" s="61"/>
      <c r="R22" s="67" t="e">
        <f t="shared" si="2"/>
        <v>#DIV/0!</v>
      </c>
      <c r="S22" s="61"/>
      <c r="T22" s="61"/>
      <c r="U22" s="61"/>
      <c r="V22" s="61"/>
      <c r="W22" s="61"/>
      <c r="X22" s="67" t="e">
        <f t="shared" si="3"/>
        <v>#DIV/0!</v>
      </c>
      <c r="Y22" s="66"/>
      <c r="Z22" s="61"/>
      <c r="AA22" s="61"/>
      <c r="AB22" s="61"/>
      <c r="AC22" s="61"/>
      <c r="AD22" s="67" t="e">
        <f t="shared" si="4"/>
        <v>#DIV/0!</v>
      </c>
      <c r="AE22" s="61"/>
      <c r="AF22" s="61"/>
      <c r="AG22" s="61"/>
      <c r="AH22" s="61"/>
      <c r="AI22" s="61"/>
      <c r="AJ22" s="67" t="e">
        <f t="shared" si="5"/>
        <v>#DIV/0!</v>
      </c>
      <c r="AK22" s="68"/>
      <c r="AL22" s="61"/>
      <c r="AM22" s="61"/>
      <c r="AN22" s="61"/>
      <c r="AO22" s="61"/>
      <c r="AP22" s="67" t="e">
        <f t="shared" si="6"/>
        <v>#DIV/0!</v>
      </c>
      <c r="AQ22" s="61"/>
      <c r="AR22" s="61"/>
      <c r="AS22" s="61"/>
      <c r="AT22" s="61"/>
      <c r="AU22" s="61"/>
      <c r="AV22" s="67" t="e">
        <f t="shared" si="7"/>
        <v>#DIV/0!</v>
      </c>
      <c r="AW22" s="61"/>
      <c r="AX22" s="61"/>
      <c r="AY22" s="61"/>
      <c r="AZ22" s="61"/>
      <c r="BA22" s="61"/>
      <c r="BB22" s="67" t="e">
        <f t="shared" si="8"/>
        <v>#DIV/0!</v>
      </c>
      <c r="BC22" s="61"/>
      <c r="BD22" s="61"/>
      <c r="BE22" s="61"/>
      <c r="BF22" s="61"/>
      <c r="BG22" s="61"/>
      <c r="BH22" s="67" t="e">
        <f t="shared" si="9"/>
        <v>#DIV/0!</v>
      </c>
      <c r="BI22" s="107"/>
      <c r="BJ22" s="61"/>
      <c r="BK22" s="61"/>
      <c r="BL22" s="61"/>
      <c r="BM22" s="61"/>
      <c r="BN22" s="61"/>
      <c r="BO22" s="67">
        <f t="shared" si="10"/>
        <v>0</v>
      </c>
      <c r="BP22" s="61"/>
      <c r="BQ22" s="61"/>
      <c r="BR22" s="61"/>
      <c r="BS22" s="61"/>
      <c r="BT22" s="61"/>
      <c r="BU22" s="67">
        <f t="shared" si="11"/>
        <v>0</v>
      </c>
      <c r="BV22" s="61"/>
      <c r="BW22" s="61"/>
      <c r="BX22" s="61"/>
      <c r="BY22" s="61"/>
      <c r="BZ22" s="61"/>
      <c r="CA22" s="67">
        <f t="shared" si="12"/>
        <v>0</v>
      </c>
      <c r="CB22" s="61"/>
      <c r="CC22" s="61"/>
      <c r="CD22" s="61"/>
      <c r="CE22" s="61"/>
      <c r="CF22" s="61"/>
      <c r="CG22" s="67">
        <f t="shared" si="13"/>
        <v>0</v>
      </c>
    </row>
    <row r="23" spans="1:85" s="70" customFormat="1" ht="16" x14ac:dyDescent="0.2">
      <c r="A23" s="61" t="s">
        <v>256</v>
      </c>
      <c r="B23" s="61">
        <v>1</v>
      </c>
      <c r="C23" s="62" t="s">
        <v>255</v>
      </c>
      <c r="D23" s="72"/>
      <c r="E23" s="61">
        <v>1</v>
      </c>
      <c r="F23" s="61"/>
      <c r="G23" s="61"/>
      <c r="H23" s="59"/>
      <c r="I23" s="99" t="e">
        <f t="shared" si="14"/>
        <v>#DIV/0!</v>
      </c>
      <c r="J23" s="64" t="e">
        <f t="shared" si="0"/>
        <v>#DIV/0!</v>
      </c>
      <c r="K23" s="64" t="e">
        <f t="shared" si="1"/>
        <v>#DIV/0!</v>
      </c>
      <c r="L23" s="65"/>
      <c r="M23" s="66"/>
      <c r="N23" s="61"/>
      <c r="O23" s="61"/>
      <c r="P23" s="61"/>
      <c r="Q23" s="61"/>
      <c r="R23" s="67" t="e">
        <f t="shared" si="2"/>
        <v>#DIV/0!</v>
      </c>
      <c r="S23" s="61"/>
      <c r="T23" s="61"/>
      <c r="U23" s="61"/>
      <c r="V23" s="61"/>
      <c r="W23" s="61"/>
      <c r="X23" s="67" t="e">
        <f t="shared" si="3"/>
        <v>#DIV/0!</v>
      </c>
      <c r="Y23" s="66"/>
      <c r="Z23" s="61"/>
      <c r="AA23" s="61"/>
      <c r="AB23" s="61"/>
      <c r="AC23" s="61"/>
      <c r="AD23" s="67" t="e">
        <f t="shared" si="4"/>
        <v>#DIV/0!</v>
      </c>
      <c r="AE23" s="61"/>
      <c r="AF23" s="61"/>
      <c r="AG23" s="61"/>
      <c r="AH23" s="61"/>
      <c r="AI23" s="61"/>
      <c r="AJ23" s="67" t="e">
        <f t="shared" si="5"/>
        <v>#DIV/0!</v>
      </c>
      <c r="AK23" s="68"/>
      <c r="AL23" s="61"/>
      <c r="AM23" s="61"/>
      <c r="AN23" s="61"/>
      <c r="AO23" s="61"/>
      <c r="AP23" s="67" t="e">
        <f t="shared" si="6"/>
        <v>#DIV/0!</v>
      </c>
      <c r="AQ23" s="61"/>
      <c r="AR23" s="61"/>
      <c r="AS23" s="61"/>
      <c r="AT23" s="61"/>
      <c r="AU23" s="61"/>
      <c r="AV23" s="67" t="e">
        <f t="shared" si="7"/>
        <v>#DIV/0!</v>
      </c>
      <c r="AW23" s="61"/>
      <c r="AX23" s="61"/>
      <c r="AY23" s="61"/>
      <c r="AZ23" s="61"/>
      <c r="BA23" s="61"/>
      <c r="BB23" s="67" t="e">
        <f t="shared" si="8"/>
        <v>#DIV/0!</v>
      </c>
      <c r="BC23" s="61"/>
      <c r="BD23" s="61"/>
      <c r="BE23" s="61"/>
      <c r="BF23" s="61"/>
      <c r="BG23" s="61"/>
      <c r="BH23" s="67" t="e">
        <f t="shared" si="9"/>
        <v>#DIV/0!</v>
      </c>
      <c r="BI23" s="107"/>
      <c r="BJ23" s="61"/>
      <c r="BK23" s="61"/>
      <c r="BL23" s="61"/>
      <c r="BM23" s="61"/>
      <c r="BN23" s="61"/>
      <c r="BO23" s="67">
        <f t="shared" si="10"/>
        <v>0</v>
      </c>
      <c r="BP23" s="61"/>
      <c r="BQ23" s="61"/>
      <c r="BR23" s="61"/>
      <c r="BS23" s="61"/>
      <c r="BT23" s="61"/>
      <c r="BU23" s="67">
        <f t="shared" si="11"/>
        <v>0</v>
      </c>
      <c r="BV23" s="61"/>
      <c r="BW23" s="61"/>
      <c r="BX23" s="61"/>
      <c r="BY23" s="61"/>
      <c r="BZ23" s="61"/>
      <c r="CA23" s="67">
        <f t="shared" si="12"/>
        <v>0</v>
      </c>
      <c r="CB23" s="61"/>
      <c r="CC23" s="61"/>
      <c r="CD23" s="61"/>
      <c r="CE23" s="61"/>
      <c r="CF23" s="61"/>
      <c r="CG23" s="67">
        <f t="shared" si="13"/>
        <v>0</v>
      </c>
    </row>
    <row r="24" spans="1:85" s="70" customFormat="1" ht="16" x14ac:dyDescent="0.2">
      <c r="A24" s="61" t="s">
        <v>254</v>
      </c>
      <c r="B24" s="61">
        <v>1</v>
      </c>
      <c r="C24" s="62" t="s">
        <v>253</v>
      </c>
      <c r="D24" s="72"/>
      <c r="E24" s="61"/>
      <c r="F24" s="61"/>
      <c r="G24" s="61"/>
      <c r="H24" s="59"/>
      <c r="I24" s="99" t="e">
        <f t="shared" si="14"/>
        <v>#DIV/0!</v>
      </c>
      <c r="J24" s="64" t="e">
        <f t="shared" si="0"/>
        <v>#DIV/0!</v>
      </c>
      <c r="K24" s="64" t="e">
        <f t="shared" si="1"/>
        <v>#DIV/0!</v>
      </c>
      <c r="L24" s="65"/>
      <c r="M24" s="66"/>
      <c r="N24" s="61"/>
      <c r="O24" s="61"/>
      <c r="P24" s="61"/>
      <c r="Q24" s="61"/>
      <c r="R24" s="67" t="e">
        <f t="shared" si="2"/>
        <v>#DIV/0!</v>
      </c>
      <c r="S24" s="61"/>
      <c r="T24" s="61"/>
      <c r="U24" s="61"/>
      <c r="V24" s="61"/>
      <c r="W24" s="61"/>
      <c r="X24" s="67" t="e">
        <f t="shared" si="3"/>
        <v>#DIV/0!</v>
      </c>
      <c r="Y24" s="66"/>
      <c r="Z24" s="61"/>
      <c r="AA24" s="61"/>
      <c r="AB24" s="61"/>
      <c r="AC24" s="61"/>
      <c r="AD24" s="67" t="e">
        <f t="shared" si="4"/>
        <v>#DIV/0!</v>
      </c>
      <c r="AE24" s="61"/>
      <c r="AF24" s="61"/>
      <c r="AG24" s="61"/>
      <c r="AH24" s="61"/>
      <c r="AI24" s="61"/>
      <c r="AJ24" s="67" t="e">
        <f t="shared" si="5"/>
        <v>#DIV/0!</v>
      </c>
      <c r="AK24" s="68"/>
      <c r="AL24" s="61"/>
      <c r="AM24" s="61"/>
      <c r="AN24" s="61"/>
      <c r="AO24" s="61"/>
      <c r="AP24" s="67" t="e">
        <f t="shared" si="6"/>
        <v>#DIV/0!</v>
      </c>
      <c r="AQ24" s="61"/>
      <c r="AR24" s="61"/>
      <c r="AS24" s="61"/>
      <c r="AT24" s="61"/>
      <c r="AU24" s="61"/>
      <c r="AV24" s="67" t="e">
        <f t="shared" si="7"/>
        <v>#DIV/0!</v>
      </c>
      <c r="AW24" s="61"/>
      <c r="AX24" s="61"/>
      <c r="AY24" s="61"/>
      <c r="AZ24" s="61"/>
      <c r="BA24" s="61"/>
      <c r="BB24" s="67" t="e">
        <f t="shared" si="8"/>
        <v>#DIV/0!</v>
      </c>
      <c r="BC24" s="61"/>
      <c r="BD24" s="61"/>
      <c r="BE24" s="61"/>
      <c r="BF24" s="61"/>
      <c r="BG24" s="61"/>
      <c r="BH24" s="67" t="e">
        <f t="shared" si="9"/>
        <v>#DIV/0!</v>
      </c>
      <c r="BI24" s="107"/>
      <c r="BJ24" s="61"/>
      <c r="BK24" s="61"/>
      <c r="BL24" s="61"/>
      <c r="BM24" s="61"/>
      <c r="BN24" s="61"/>
      <c r="BO24" s="67">
        <f t="shared" si="10"/>
        <v>0</v>
      </c>
      <c r="BP24" s="61"/>
      <c r="BQ24" s="61"/>
      <c r="BR24" s="61"/>
      <c r="BS24" s="61"/>
      <c r="BT24" s="61"/>
      <c r="BU24" s="67">
        <f t="shared" si="11"/>
        <v>0</v>
      </c>
      <c r="BV24" s="61"/>
      <c r="BW24" s="61"/>
      <c r="BX24" s="61"/>
      <c r="BY24" s="61"/>
      <c r="BZ24" s="61"/>
      <c r="CA24" s="67">
        <f t="shared" si="12"/>
        <v>0</v>
      </c>
      <c r="CB24" s="61"/>
      <c r="CC24" s="61"/>
      <c r="CD24" s="61"/>
      <c r="CE24" s="61"/>
      <c r="CF24" s="61"/>
      <c r="CG24" s="67">
        <f t="shared" si="13"/>
        <v>0</v>
      </c>
    </row>
    <row r="25" spans="1:85" ht="16" x14ac:dyDescent="0.2">
      <c r="A25" s="5" t="s">
        <v>252</v>
      </c>
      <c r="B25" s="5">
        <v>1</v>
      </c>
      <c r="C25" s="13" t="s">
        <v>251</v>
      </c>
      <c r="D25" s="6">
        <v>1</v>
      </c>
      <c r="E25" s="5"/>
      <c r="F25" s="5">
        <v>1</v>
      </c>
      <c r="G25" s="59">
        <v>1</v>
      </c>
      <c r="H25" s="59">
        <f>_xlfn.XLOOKUP(C25,'[1]5A_CD'!$C:$C,'[1]5A_CD'!$J:$J,"")</f>
        <v>1</v>
      </c>
      <c r="I25" s="97">
        <f t="shared" si="14"/>
        <v>64.474999999999994</v>
      </c>
      <c r="J25" s="33">
        <f t="shared" si="0"/>
        <v>49.25</v>
      </c>
      <c r="K25" s="33">
        <f t="shared" si="1"/>
        <v>49.25</v>
      </c>
      <c r="L25" s="57"/>
      <c r="M25" s="44">
        <v>1</v>
      </c>
      <c r="N25" s="5">
        <v>1</v>
      </c>
      <c r="O25" s="5">
        <v>1</v>
      </c>
      <c r="P25" s="5">
        <v>1</v>
      </c>
      <c r="Q25" s="5">
        <v>1</v>
      </c>
      <c r="R25" s="48">
        <f t="shared" si="2"/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48">
        <f t="shared" si="3"/>
        <v>1</v>
      </c>
      <c r="Y25" s="44">
        <v>0.75</v>
      </c>
      <c r="Z25" s="5">
        <v>0.5</v>
      </c>
      <c r="AA25" s="5">
        <v>0.25</v>
      </c>
      <c r="AB25" s="5">
        <v>0</v>
      </c>
      <c r="AC25" s="5">
        <v>0</v>
      </c>
      <c r="AD25" s="48">
        <f t="shared" si="4"/>
        <v>0.3</v>
      </c>
      <c r="AE25" s="5">
        <v>0.75</v>
      </c>
      <c r="AF25" s="5">
        <v>0.5</v>
      </c>
      <c r="AG25" s="5">
        <v>0.5</v>
      </c>
      <c r="AH25" s="5">
        <v>0</v>
      </c>
      <c r="AI25" s="5">
        <v>0</v>
      </c>
      <c r="AJ25" s="48">
        <f t="shared" si="5"/>
        <v>0.35</v>
      </c>
      <c r="AK25" s="34">
        <v>1</v>
      </c>
      <c r="AL25" s="5">
        <v>1</v>
      </c>
      <c r="AM25" s="5">
        <v>1</v>
      </c>
      <c r="AN25" s="5">
        <v>0</v>
      </c>
      <c r="AO25" s="5">
        <v>0</v>
      </c>
      <c r="AP25" s="48">
        <f t="shared" si="6"/>
        <v>0.6</v>
      </c>
      <c r="AQ25" s="5">
        <v>0.5</v>
      </c>
      <c r="AR25" s="5">
        <v>0.5</v>
      </c>
      <c r="AS25" s="5">
        <v>0.5</v>
      </c>
      <c r="AT25" s="5">
        <v>0.5</v>
      </c>
      <c r="AU25" s="5">
        <v>0.5</v>
      </c>
      <c r="AV25" s="48">
        <f t="shared" si="7"/>
        <v>0.5</v>
      </c>
      <c r="AW25" s="5">
        <v>0.25</v>
      </c>
      <c r="AX25" s="5">
        <v>0.25</v>
      </c>
      <c r="AY25" s="5">
        <v>0.25</v>
      </c>
      <c r="AZ25" s="5">
        <v>0</v>
      </c>
      <c r="BA25" s="5">
        <v>0</v>
      </c>
      <c r="BB25" s="48">
        <f t="shared" si="8"/>
        <v>0.15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48">
        <f t="shared" si="9"/>
        <v>0</v>
      </c>
      <c r="BI25" s="107"/>
      <c r="BJ25" s="5"/>
      <c r="BK25" s="5"/>
      <c r="BL25" s="5"/>
      <c r="BM25" s="5"/>
      <c r="BN25" s="5"/>
      <c r="BO25" s="48">
        <f t="shared" si="10"/>
        <v>0</v>
      </c>
      <c r="BP25" s="5"/>
      <c r="BQ25" s="5"/>
      <c r="BR25" s="5"/>
      <c r="BS25" s="5"/>
      <c r="BT25" s="5"/>
      <c r="BU25" s="48">
        <f t="shared" si="11"/>
        <v>0</v>
      </c>
      <c r="BV25" s="5"/>
      <c r="BW25" s="5"/>
      <c r="BX25" s="5"/>
      <c r="BY25" s="5"/>
      <c r="BZ25" s="5"/>
      <c r="CA25" s="48">
        <f t="shared" si="12"/>
        <v>0</v>
      </c>
      <c r="CB25" s="5"/>
      <c r="CC25" s="5"/>
      <c r="CD25" s="5"/>
      <c r="CE25" s="5"/>
      <c r="CF25" s="5"/>
      <c r="CG25" s="48">
        <f t="shared" si="13"/>
        <v>0</v>
      </c>
    </row>
    <row r="26" spans="1:85" ht="16" x14ac:dyDescent="0.2">
      <c r="A26" s="7" t="s">
        <v>250</v>
      </c>
      <c r="B26" s="7">
        <v>1</v>
      </c>
      <c r="C26" s="14" t="s">
        <v>249</v>
      </c>
      <c r="D26" s="8">
        <v>1</v>
      </c>
      <c r="E26" s="7"/>
      <c r="F26" s="7">
        <v>1</v>
      </c>
      <c r="G26" s="59">
        <v>1</v>
      </c>
      <c r="H26" s="59">
        <f>_xlfn.XLOOKUP(C26,'[1]5A_CD'!$C:$C,'[1]5A_CD'!$J:$J,"")</f>
        <v>1</v>
      </c>
      <c r="I26" s="97">
        <f t="shared" si="14"/>
        <v>47.5</v>
      </c>
      <c r="J26" s="33">
        <f t="shared" si="0"/>
        <v>25</v>
      </c>
      <c r="K26" s="33">
        <f t="shared" si="1"/>
        <v>25</v>
      </c>
      <c r="L26" s="57"/>
      <c r="M26" s="45">
        <v>0.5</v>
      </c>
      <c r="N26" s="7">
        <v>0.5</v>
      </c>
      <c r="O26" s="7">
        <v>0.5</v>
      </c>
      <c r="P26" s="7">
        <v>0.5</v>
      </c>
      <c r="Q26" s="7">
        <v>0.5</v>
      </c>
      <c r="R26" s="48">
        <f t="shared" si="2"/>
        <v>0.5</v>
      </c>
      <c r="S26" s="7">
        <v>0.5</v>
      </c>
      <c r="T26" s="7">
        <v>0.5</v>
      </c>
      <c r="U26" s="7">
        <v>0.5</v>
      </c>
      <c r="V26" s="7">
        <v>0.5</v>
      </c>
      <c r="W26" s="7">
        <v>0.5</v>
      </c>
      <c r="X26" s="48">
        <f t="shared" si="3"/>
        <v>0.5</v>
      </c>
      <c r="Y26" s="45">
        <v>1</v>
      </c>
      <c r="Z26" s="7">
        <v>1</v>
      </c>
      <c r="AA26" s="7">
        <v>1</v>
      </c>
      <c r="AB26" s="7">
        <v>1</v>
      </c>
      <c r="AC26" s="7">
        <v>1</v>
      </c>
      <c r="AD26" s="48">
        <f t="shared" si="4"/>
        <v>1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48">
        <f t="shared" si="5"/>
        <v>0</v>
      </c>
      <c r="AK26" s="35">
        <v>0</v>
      </c>
      <c r="AL26" s="7">
        <v>0</v>
      </c>
      <c r="AM26" s="7">
        <v>0</v>
      </c>
      <c r="AN26" s="7">
        <v>0</v>
      </c>
      <c r="AO26" s="7">
        <v>0</v>
      </c>
      <c r="AP26" s="48">
        <f t="shared" si="6"/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48">
        <f t="shared" si="7"/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48">
        <f t="shared" si="8"/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48">
        <f t="shared" si="9"/>
        <v>0</v>
      </c>
      <c r="BI26" s="107"/>
      <c r="BJ26" s="7"/>
      <c r="BK26" s="7"/>
      <c r="BL26" s="7"/>
      <c r="BM26" s="7"/>
      <c r="BN26" s="7"/>
      <c r="BO26" s="48">
        <f t="shared" si="10"/>
        <v>0</v>
      </c>
      <c r="BP26" s="7"/>
      <c r="BQ26" s="7"/>
      <c r="BR26" s="7"/>
      <c r="BS26" s="7"/>
      <c r="BT26" s="7"/>
      <c r="BU26" s="48">
        <f t="shared" si="11"/>
        <v>0</v>
      </c>
      <c r="BV26" s="7"/>
      <c r="BW26" s="7"/>
      <c r="BX26" s="7"/>
      <c r="BY26" s="7"/>
      <c r="BZ26" s="7"/>
      <c r="CA26" s="48">
        <f t="shared" si="12"/>
        <v>0</v>
      </c>
      <c r="CB26" s="7"/>
      <c r="CC26" s="7"/>
      <c r="CD26" s="7"/>
      <c r="CE26" s="7"/>
      <c r="CF26" s="7"/>
      <c r="CG26" s="48">
        <f t="shared" si="13"/>
        <v>0</v>
      </c>
    </row>
    <row r="27" spans="1:85" ht="16" x14ac:dyDescent="0.2">
      <c r="A27" s="5" t="s">
        <v>248</v>
      </c>
      <c r="B27" s="5">
        <v>1</v>
      </c>
      <c r="C27" s="13" t="s">
        <v>247</v>
      </c>
      <c r="D27" s="6">
        <v>1</v>
      </c>
      <c r="E27" s="5">
        <v>1</v>
      </c>
      <c r="F27" s="5">
        <v>1</v>
      </c>
      <c r="G27" s="59">
        <v>1</v>
      </c>
      <c r="H27" s="59">
        <f>_xlfn.XLOOKUP(C27,'[1]5A_CD'!$C:$C,'[1]5A_CD'!$J:$J,"")</f>
        <v>1</v>
      </c>
      <c r="I27" s="97">
        <f t="shared" si="14"/>
        <v>86</v>
      </c>
      <c r="J27" s="33">
        <f t="shared" si="0"/>
        <v>80</v>
      </c>
      <c r="K27" s="33">
        <f t="shared" si="1"/>
        <v>80</v>
      </c>
      <c r="L27" s="57"/>
      <c r="M27" s="44">
        <v>1</v>
      </c>
      <c r="N27" s="5">
        <v>1</v>
      </c>
      <c r="O27" s="5">
        <v>1</v>
      </c>
      <c r="P27" s="5">
        <v>1</v>
      </c>
      <c r="Q27" s="5">
        <v>1</v>
      </c>
      <c r="R27" s="48">
        <f t="shared" si="2"/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48">
        <f t="shared" si="3"/>
        <v>1</v>
      </c>
      <c r="Y27" s="44">
        <v>1</v>
      </c>
      <c r="Z27" s="5">
        <v>1</v>
      </c>
      <c r="AA27" s="5">
        <v>1</v>
      </c>
      <c r="AB27" s="5">
        <v>1</v>
      </c>
      <c r="AC27" s="5">
        <v>1</v>
      </c>
      <c r="AD27" s="48">
        <f t="shared" si="4"/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48">
        <f t="shared" si="5"/>
        <v>1</v>
      </c>
      <c r="AK27" s="34">
        <v>1</v>
      </c>
      <c r="AL27" s="5">
        <v>1</v>
      </c>
      <c r="AM27" s="5">
        <v>1</v>
      </c>
      <c r="AN27" s="5">
        <v>1</v>
      </c>
      <c r="AO27" s="5">
        <v>1</v>
      </c>
      <c r="AP27" s="48">
        <f t="shared" si="6"/>
        <v>1</v>
      </c>
      <c r="AQ27" s="5">
        <v>1</v>
      </c>
      <c r="AR27" s="5">
        <v>0.5</v>
      </c>
      <c r="AS27" s="5">
        <v>0.5</v>
      </c>
      <c r="AT27" s="5">
        <v>0.5</v>
      </c>
      <c r="AU27" s="5">
        <v>0.5</v>
      </c>
      <c r="AV27" s="48">
        <f t="shared" si="7"/>
        <v>0.6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48">
        <f t="shared" si="8"/>
        <v>0</v>
      </c>
      <c r="BC27" s="5">
        <v>0.5</v>
      </c>
      <c r="BD27" s="5">
        <v>0.5</v>
      </c>
      <c r="BE27" s="5">
        <v>0.5</v>
      </c>
      <c r="BF27" s="5">
        <v>0</v>
      </c>
      <c r="BG27" s="5">
        <v>0</v>
      </c>
      <c r="BH27" s="48">
        <f t="shared" si="9"/>
        <v>0.3</v>
      </c>
      <c r="BI27" s="107"/>
      <c r="BJ27" s="5"/>
      <c r="BK27" s="5"/>
      <c r="BL27" s="5"/>
      <c r="BM27" s="5"/>
      <c r="BN27" s="5"/>
      <c r="BO27" s="48">
        <f t="shared" si="10"/>
        <v>0</v>
      </c>
      <c r="BP27" s="5"/>
      <c r="BQ27" s="5"/>
      <c r="BR27" s="5"/>
      <c r="BS27" s="5"/>
      <c r="BT27" s="5"/>
      <c r="BU27" s="48">
        <f t="shared" si="11"/>
        <v>0</v>
      </c>
      <c r="BV27" s="5"/>
      <c r="BW27" s="5"/>
      <c r="BX27" s="5"/>
      <c r="BY27" s="5"/>
      <c r="BZ27" s="5"/>
      <c r="CA27" s="48">
        <f t="shared" si="12"/>
        <v>0</v>
      </c>
      <c r="CB27" s="5"/>
      <c r="CC27" s="5"/>
      <c r="CD27" s="5"/>
      <c r="CE27" s="5"/>
      <c r="CF27" s="5"/>
      <c r="CG27" s="48">
        <f t="shared" si="13"/>
        <v>0</v>
      </c>
    </row>
    <row r="28" spans="1:85" ht="16" x14ac:dyDescent="0.2">
      <c r="A28" s="7" t="s">
        <v>246</v>
      </c>
      <c r="B28" s="7">
        <v>1</v>
      </c>
      <c r="C28" s="51" t="s">
        <v>245</v>
      </c>
      <c r="D28" s="8">
        <v>1</v>
      </c>
      <c r="E28" s="7"/>
      <c r="F28" s="7">
        <v>1</v>
      </c>
      <c r="G28" s="59">
        <v>1</v>
      </c>
      <c r="H28" s="59">
        <f>_xlfn.XLOOKUP(C28,'[1]5A_CD'!$C:$C,'[1]5A_CD'!$J:$J,"")</f>
        <v>1</v>
      </c>
      <c r="I28" s="97">
        <f t="shared" si="14"/>
        <v>100</v>
      </c>
      <c r="J28" s="33">
        <f t="shared" si="0"/>
        <v>100</v>
      </c>
      <c r="K28" s="33">
        <f t="shared" si="1"/>
        <v>118.5</v>
      </c>
      <c r="L28" s="57"/>
      <c r="M28" s="45">
        <v>1</v>
      </c>
      <c r="N28" s="7">
        <v>1</v>
      </c>
      <c r="O28" s="7">
        <v>1</v>
      </c>
      <c r="P28" s="7">
        <v>1</v>
      </c>
      <c r="Q28" s="7">
        <v>1</v>
      </c>
      <c r="R28" s="48">
        <f t="shared" si="2"/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48">
        <f t="shared" si="3"/>
        <v>1</v>
      </c>
      <c r="Y28" s="45">
        <v>1</v>
      </c>
      <c r="Z28" s="7">
        <v>1</v>
      </c>
      <c r="AA28" s="7">
        <v>1</v>
      </c>
      <c r="AB28" s="7">
        <v>1</v>
      </c>
      <c r="AC28" s="7">
        <v>1</v>
      </c>
      <c r="AD28" s="48">
        <f t="shared" si="4"/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48">
        <f t="shared" si="5"/>
        <v>1</v>
      </c>
      <c r="AK28" s="35">
        <v>1</v>
      </c>
      <c r="AL28" s="7">
        <v>1</v>
      </c>
      <c r="AM28" s="7">
        <v>1</v>
      </c>
      <c r="AN28" s="7">
        <v>1</v>
      </c>
      <c r="AO28" s="7">
        <v>1</v>
      </c>
      <c r="AP28" s="48">
        <f t="shared" si="6"/>
        <v>1</v>
      </c>
      <c r="AQ28" s="7">
        <v>1</v>
      </c>
      <c r="AR28" s="7">
        <v>1</v>
      </c>
      <c r="AS28" s="7">
        <v>1</v>
      </c>
      <c r="AT28" s="7">
        <v>0.5</v>
      </c>
      <c r="AU28" s="7">
        <v>1</v>
      </c>
      <c r="AV28" s="48">
        <f t="shared" si="7"/>
        <v>0.9</v>
      </c>
      <c r="AW28" s="7">
        <v>1</v>
      </c>
      <c r="AX28" s="7">
        <v>1</v>
      </c>
      <c r="AY28" s="7">
        <v>1</v>
      </c>
      <c r="AZ28" s="7">
        <v>1</v>
      </c>
      <c r="BA28" s="7">
        <v>1</v>
      </c>
      <c r="BB28" s="48">
        <f t="shared" si="8"/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48">
        <f t="shared" si="9"/>
        <v>1</v>
      </c>
      <c r="BI28" s="107"/>
      <c r="BJ28" s="7"/>
      <c r="BK28" s="7"/>
      <c r="BL28" s="7"/>
      <c r="BM28" s="7"/>
      <c r="BN28" s="7"/>
      <c r="BO28" s="48">
        <f t="shared" si="10"/>
        <v>0</v>
      </c>
      <c r="BP28" s="7"/>
      <c r="BQ28" s="7"/>
      <c r="BR28" s="7"/>
      <c r="BS28" s="7"/>
      <c r="BT28" s="7"/>
      <c r="BU28" s="48">
        <f t="shared" si="11"/>
        <v>0</v>
      </c>
      <c r="BV28" s="7"/>
      <c r="BW28" s="7"/>
      <c r="BX28" s="7"/>
      <c r="BY28" s="7"/>
      <c r="BZ28" s="7"/>
      <c r="CA28" s="48">
        <f t="shared" si="12"/>
        <v>0</v>
      </c>
      <c r="CB28" s="7"/>
      <c r="CC28" s="7"/>
      <c r="CD28" s="7"/>
      <c r="CE28" s="7"/>
      <c r="CF28" s="7"/>
      <c r="CG28" s="48">
        <f t="shared" si="13"/>
        <v>0</v>
      </c>
    </row>
    <row r="29" spans="1:85" ht="16" x14ac:dyDescent="0.2">
      <c r="A29" s="5" t="s">
        <v>244</v>
      </c>
      <c r="B29" s="5">
        <v>1</v>
      </c>
      <c r="C29" s="13" t="s">
        <v>243</v>
      </c>
      <c r="D29" s="6">
        <v>1</v>
      </c>
      <c r="E29" s="5"/>
      <c r="F29" s="5">
        <v>1</v>
      </c>
      <c r="G29" s="59">
        <v>1</v>
      </c>
      <c r="H29" s="59">
        <f>_xlfn.XLOOKUP(C29,'[1]5A_CD'!$C:$C,'[1]5A_CD'!$J:$J,"")</f>
        <v>1</v>
      </c>
      <c r="I29" s="97">
        <f t="shared" si="14"/>
        <v>93.699999999999989</v>
      </c>
      <c r="J29" s="33">
        <f t="shared" si="0"/>
        <v>91</v>
      </c>
      <c r="K29" s="33">
        <f t="shared" si="1"/>
        <v>91</v>
      </c>
      <c r="L29" s="57"/>
      <c r="M29" s="44">
        <v>1</v>
      </c>
      <c r="N29" s="5">
        <v>1</v>
      </c>
      <c r="O29" s="5">
        <v>1</v>
      </c>
      <c r="P29" s="5">
        <v>1</v>
      </c>
      <c r="Q29" s="5">
        <v>1</v>
      </c>
      <c r="R29" s="48">
        <f t="shared" si="2"/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48">
        <f t="shared" si="3"/>
        <v>1</v>
      </c>
      <c r="Y29" s="44">
        <v>1</v>
      </c>
      <c r="Z29" s="5">
        <v>1</v>
      </c>
      <c r="AA29" s="5">
        <v>1</v>
      </c>
      <c r="AB29" s="5">
        <v>1</v>
      </c>
      <c r="AC29" s="5">
        <v>1</v>
      </c>
      <c r="AD29" s="48">
        <f t="shared" si="4"/>
        <v>1</v>
      </c>
      <c r="AE29" s="5">
        <v>1</v>
      </c>
      <c r="AF29" s="5">
        <v>1</v>
      </c>
      <c r="AG29" s="5">
        <v>1</v>
      </c>
      <c r="AH29" s="5">
        <v>1</v>
      </c>
      <c r="AI29" s="5">
        <v>1</v>
      </c>
      <c r="AJ29" s="48">
        <f t="shared" si="5"/>
        <v>1</v>
      </c>
      <c r="AK29" s="34">
        <v>1</v>
      </c>
      <c r="AL29" s="5">
        <v>1</v>
      </c>
      <c r="AM29" s="5">
        <v>1</v>
      </c>
      <c r="AN29" s="5">
        <v>1</v>
      </c>
      <c r="AO29" s="5">
        <v>1</v>
      </c>
      <c r="AP29" s="48">
        <f t="shared" si="6"/>
        <v>1</v>
      </c>
      <c r="AQ29" s="5">
        <v>1</v>
      </c>
      <c r="AR29" s="5">
        <v>1</v>
      </c>
      <c r="AS29" s="5">
        <v>1</v>
      </c>
      <c r="AT29" s="5">
        <v>1</v>
      </c>
      <c r="AU29" s="5">
        <v>1</v>
      </c>
      <c r="AV29" s="48">
        <f t="shared" si="7"/>
        <v>1</v>
      </c>
      <c r="AW29" s="5">
        <v>0.75</v>
      </c>
      <c r="AX29" s="5">
        <v>0.5</v>
      </c>
      <c r="AY29" s="5">
        <v>0.5</v>
      </c>
      <c r="AZ29" s="5">
        <v>0.5</v>
      </c>
      <c r="BA29" s="5">
        <v>0.5</v>
      </c>
      <c r="BB29" s="48">
        <f t="shared" si="8"/>
        <v>0.55000000000000004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48">
        <f t="shared" si="9"/>
        <v>0</v>
      </c>
      <c r="BI29" s="107"/>
      <c r="BJ29" s="5"/>
      <c r="BK29" s="5"/>
      <c r="BL29" s="5"/>
      <c r="BM29" s="5"/>
      <c r="BN29" s="5"/>
      <c r="BO29" s="48">
        <f t="shared" si="10"/>
        <v>0</v>
      </c>
      <c r="BP29" s="5"/>
      <c r="BQ29" s="5"/>
      <c r="BR29" s="5"/>
      <c r="BS29" s="5"/>
      <c r="BT29" s="5"/>
      <c r="BU29" s="48">
        <f t="shared" si="11"/>
        <v>0</v>
      </c>
      <c r="BV29" s="5"/>
      <c r="BW29" s="5"/>
      <c r="BX29" s="5"/>
      <c r="BY29" s="5"/>
      <c r="BZ29" s="5"/>
      <c r="CA29" s="48">
        <f t="shared" si="12"/>
        <v>0</v>
      </c>
      <c r="CB29" s="5"/>
      <c r="CC29" s="5"/>
      <c r="CD29" s="5"/>
      <c r="CE29" s="5"/>
      <c r="CF29" s="5"/>
      <c r="CG29" s="48">
        <f t="shared" si="13"/>
        <v>0</v>
      </c>
    </row>
    <row r="30" spans="1:85" ht="16" x14ac:dyDescent="0.2">
      <c r="A30" s="7" t="s">
        <v>242</v>
      </c>
      <c r="B30" s="7">
        <v>1</v>
      </c>
      <c r="C30" s="51" t="s">
        <v>241</v>
      </c>
      <c r="D30" s="8">
        <v>1</v>
      </c>
      <c r="E30" s="7"/>
      <c r="F30" s="7">
        <v>1</v>
      </c>
      <c r="G30" s="59">
        <v>1</v>
      </c>
      <c r="H30" s="59">
        <f>_xlfn.XLOOKUP(C30,'[1]5A_CD'!$C:$C,'[1]5A_CD'!$J:$J,"")</f>
        <v>1</v>
      </c>
      <c r="I30" s="97">
        <f t="shared" si="14"/>
        <v>100</v>
      </c>
      <c r="J30" s="33">
        <f t="shared" si="0"/>
        <v>100</v>
      </c>
      <c r="K30" s="33">
        <f t="shared" si="1"/>
        <v>119.5</v>
      </c>
      <c r="L30" s="57"/>
      <c r="M30" s="45">
        <v>0.75</v>
      </c>
      <c r="N30" s="7">
        <v>1</v>
      </c>
      <c r="O30" s="7">
        <v>1</v>
      </c>
      <c r="P30" s="7">
        <v>1</v>
      </c>
      <c r="Q30" s="7">
        <v>1</v>
      </c>
      <c r="R30" s="48">
        <f t="shared" si="2"/>
        <v>0.95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48">
        <f t="shared" si="3"/>
        <v>1</v>
      </c>
      <c r="Y30" s="45">
        <v>1</v>
      </c>
      <c r="Z30" s="7">
        <v>1</v>
      </c>
      <c r="AA30" s="7">
        <v>1</v>
      </c>
      <c r="AB30" s="7">
        <v>1</v>
      </c>
      <c r="AC30" s="7">
        <v>1</v>
      </c>
      <c r="AD30" s="48">
        <f t="shared" si="4"/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48">
        <f t="shared" si="5"/>
        <v>1</v>
      </c>
      <c r="AK30" s="35">
        <v>1</v>
      </c>
      <c r="AL30" s="7">
        <v>1</v>
      </c>
      <c r="AM30" s="7">
        <v>1</v>
      </c>
      <c r="AN30" s="7">
        <v>1</v>
      </c>
      <c r="AO30" s="7">
        <v>1</v>
      </c>
      <c r="AP30" s="48">
        <f t="shared" si="6"/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48">
        <f t="shared" si="7"/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48">
        <f t="shared" si="8"/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48">
        <f t="shared" si="9"/>
        <v>1</v>
      </c>
      <c r="BI30" s="107"/>
      <c r="BJ30" s="7"/>
      <c r="BK30" s="7"/>
      <c r="BL30" s="7"/>
      <c r="BM30" s="7">
        <v>1</v>
      </c>
      <c r="BN30" s="7"/>
      <c r="BO30" s="48">
        <f t="shared" si="10"/>
        <v>0.2</v>
      </c>
      <c r="BP30" s="7"/>
      <c r="BQ30" s="7"/>
      <c r="BR30" s="7"/>
      <c r="BS30" s="7">
        <v>1</v>
      </c>
      <c r="BT30" s="7"/>
      <c r="BU30" s="48">
        <f t="shared" si="11"/>
        <v>0.2</v>
      </c>
      <c r="BV30" s="7"/>
      <c r="BW30" s="7"/>
      <c r="BX30" s="7"/>
      <c r="BY30" s="7">
        <v>1</v>
      </c>
      <c r="BZ30" s="7"/>
      <c r="CA30" s="48">
        <f t="shared" si="12"/>
        <v>0.2</v>
      </c>
      <c r="CB30" s="7"/>
      <c r="CC30" s="7"/>
      <c r="CD30" s="7"/>
      <c r="CE30" s="7">
        <v>1</v>
      </c>
      <c r="CF30" s="7"/>
      <c r="CG30" s="48">
        <f t="shared" si="13"/>
        <v>0.2</v>
      </c>
    </row>
    <row r="31" spans="1:85" ht="16" x14ac:dyDescent="0.2">
      <c r="A31" s="5" t="s">
        <v>240</v>
      </c>
      <c r="B31" s="5">
        <v>1</v>
      </c>
      <c r="C31" s="13" t="s">
        <v>239</v>
      </c>
      <c r="D31" s="6">
        <v>1</v>
      </c>
      <c r="E31" s="5"/>
      <c r="F31" s="5">
        <v>1</v>
      </c>
      <c r="G31" s="59">
        <v>1</v>
      </c>
      <c r="H31" s="59">
        <f>_xlfn.XLOOKUP(C31,'[1]5A_CD'!$C:$C,'[1]5A_CD'!$J:$J,"")</f>
        <v>1</v>
      </c>
      <c r="I31" s="97">
        <f t="shared" si="14"/>
        <v>65</v>
      </c>
      <c r="J31" s="33">
        <f t="shared" si="0"/>
        <v>50</v>
      </c>
      <c r="K31" s="33">
        <f t="shared" si="1"/>
        <v>50</v>
      </c>
      <c r="L31" s="57"/>
      <c r="M31" s="44">
        <v>1</v>
      </c>
      <c r="N31" s="5">
        <v>1</v>
      </c>
      <c r="O31" s="5">
        <v>1</v>
      </c>
      <c r="P31" s="5">
        <v>1</v>
      </c>
      <c r="Q31" s="5">
        <v>1</v>
      </c>
      <c r="R31" s="48">
        <f t="shared" si="2"/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48">
        <f t="shared" si="3"/>
        <v>1</v>
      </c>
      <c r="Y31" s="44">
        <v>1</v>
      </c>
      <c r="Z31" s="5">
        <v>1</v>
      </c>
      <c r="AA31" s="5">
        <v>1</v>
      </c>
      <c r="AB31" s="5">
        <v>1</v>
      </c>
      <c r="AC31" s="5">
        <v>1</v>
      </c>
      <c r="AD31" s="48">
        <f t="shared" si="4"/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48">
        <f t="shared" si="5"/>
        <v>1</v>
      </c>
      <c r="AK31" s="34">
        <v>0</v>
      </c>
      <c r="AL31" s="5">
        <v>0</v>
      </c>
      <c r="AM31" s="5">
        <v>0</v>
      </c>
      <c r="AN31" s="5">
        <v>0</v>
      </c>
      <c r="AO31" s="5">
        <v>0</v>
      </c>
      <c r="AP31" s="48">
        <f t="shared" si="6"/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48">
        <f t="shared" si="7"/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48">
        <f t="shared" si="8"/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48">
        <f t="shared" si="9"/>
        <v>0</v>
      </c>
      <c r="BI31" s="107"/>
      <c r="BJ31" s="5"/>
      <c r="BK31" s="5"/>
      <c r="BL31" s="5"/>
      <c r="BM31" s="5"/>
      <c r="BN31" s="5"/>
      <c r="BO31" s="48">
        <f t="shared" si="10"/>
        <v>0</v>
      </c>
      <c r="BP31" s="5"/>
      <c r="BQ31" s="5"/>
      <c r="BR31" s="5"/>
      <c r="BS31" s="5"/>
      <c r="BT31" s="5"/>
      <c r="BU31" s="48">
        <f t="shared" si="11"/>
        <v>0</v>
      </c>
      <c r="BV31" s="5"/>
      <c r="BW31" s="5"/>
      <c r="BX31" s="5"/>
      <c r="BY31" s="5"/>
      <c r="BZ31" s="5"/>
      <c r="CA31" s="48">
        <f t="shared" si="12"/>
        <v>0</v>
      </c>
      <c r="CB31" s="5"/>
      <c r="CC31" s="5"/>
      <c r="CD31" s="5"/>
      <c r="CE31" s="5"/>
      <c r="CF31" s="5"/>
      <c r="CG31" s="48">
        <f t="shared" si="13"/>
        <v>0</v>
      </c>
    </row>
    <row r="32" spans="1:85" ht="16" x14ac:dyDescent="0.2">
      <c r="A32" s="7" t="s">
        <v>238</v>
      </c>
      <c r="B32" s="7">
        <v>1</v>
      </c>
      <c r="C32" s="14" t="s">
        <v>237</v>
      </c>
      <c r="D32" s="8">
        <v>1</v>
      </c>
      <c r="E32" s="7"/>
      <c r="F32" s="7"/>
      <c r="G32" s="59">
        <v>1</v>
      </c>
      <c r="H32" s="59">
        <f>_xlfn.XLOOKUP(C32,'[1]5A_CD'!$C:$C,'[1]5A_CD'!$J:$J,"")</f>
        <v>1</v>
      </c>
      <c r="I32" s="97">
        <f t="shared" si="14"/>
        <v>63.424999999999997</v>
      </c>
      <c r="J32" s="33">
        <f t="shared" si="0"/>
        <v>47.75</v>
      </c>
      <c r="K32" s="33">
        <f t="shared" si="1"/>
        <v>47.75</v>
      </c>
      <c r="L32" s="57"/>
      <c r="M32" s="45">
        <v>1</v>
      </c>
      <c r="N32" s="7">
        <v>1</v>
      </c>
      <c r="O32" s="7">
        <v>1</v>
      </c>
      <c r="P32" s="7">
        <v>0</v>
      </c>
      <c r="Q32" s="7">
        <v>0</v>
      </c>
      <c r="R32" s="48">
        <f t="shared" si="2"/>
        <v>0.6</v>
      </c>
      <c r="S32" s="7">
        <v>0.75</v>
      </c>
      <c r="T32" s="7">
        <v>0.5</v>
      </c>
      <c r="U32" s="7">
        <v>0.5</v>
      </c>
      <c r="V32" s="7">
        <v>0</v>
      </c>
      <c r="W32" s="7">
        <v>0</v>
      </c>
      <c r="X32" s="48">
        <f t="shared" si="3"/>
        <v>0.35</v>
      </c>
      <c r="Y32" s="45">
        <v>1</v>
      </c>
      <c r="Z32" s="7">
        <v>1</v>
      </c>
      <c r="AA32" s="7">
        <v>1</v>
      </c>
      <c r="AB32" s="7">
        <v>1</v>
      </c>
      <c r="AC32" s="7">
        <v>1</v>
      </c>
      <c r="AD32" s="48">
        <f t="shared" si="4"/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48">
        <f t="shared" si="5"/>
        <v>1</v>
      </c>
      <c r="AK32" s="35">
        <v>0.25</v>
      </c>
      <c r="AL32" s="7">
        <v>1</v>
      </c>
      <c r="AM32" s="7">
        <v>0.25</v>
      </c>
      <c r="AN32" s="7">
        <v>0</v>
      </c>
      <c r="AO32" s="7">
        <v>0</v>
      </c>
      <c r="AP32" s="48">
        <f t="shared" si="6"/>
        <v>0.3</v>
      </c>
      <c r="AQ32" s="7">
        <v>0.25</v>
      </c>
      <c r="AR32" s="7">
        <v>1</v>
      </c>
      <c r="AS32" s="7">
        <v>0</v>
      </c>
      <c r="AT32" s="7">
        <v>0</v>
      </c>
      <c r="AU32" s="7">
        <v>0</v>
      </c>
      <c r="AV32" s="48">
        <f t="shared" si="7"/>
        <v>0.25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48">
        <f t="shared" si="8"/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48">
        <f t="shared" si="9"/>
        <v>0</v>
      </c>
      <c r="BI32" s="107"/>
      <c r="BJ32" s="7"/>
      <c r="BK32" s="7"/>
      <c r="BL32" s="7"/>
      <c r="BM32" s="7"/>
      <c r="BN32" s="7"/>
      <c r="BO32" s="48">
        <f t="shared" si="10"/>
        <v>0</v>
      </c>
      <c r="BP32" s="7"/>
      <c r="BQ32" s="7"/>
      <c r="BR32" s="7"/>
      <c r="BS32" s="7"/>
      <c r="BT32" s="7"/>
      <c r="BU32" s="48">
        <f t="shared" si="11"/>
        <v>0</v>
      </c>
      <c r="BV32" s="7"/>
      <c r="BW32" s="7"/>
      <c r="BX32" s="7"/>
      <c r="BY32" s="7"/>
      <c r="BZ32" s="7"/>
      <c r="CA32" s="48">
        <f t="shared" si="12"/>
        <v>0</v>
      </c>
      <c r="CB32" s="7"/>
      <c r="CC32" s="7"/>
      <c r="CD32" s="7"/>
      <c r="CE32" s="7"/>
      <c r="CF32" s="7"/>
      <c r="CG32" s="48">
        <f t="shared" si="13"/>
        <v>0</v>
      </c>
    </row>
    <row r="33" spans="1:85" ht="16" x14ac:dyDescent="0.2">
      <c r="A33" s="5" t="s">
        <v>236</v>
      </c>
      <c r="B33" s="5">
        <v>1</v>
      </c>
      <c r="C33" s="13" t="s">
        <v>235</v>
      </c>
      <c r="D33" s="6">
        <v>1</v>
      </c>
      <c r="E33" s="5"/>
      <c r="F33" s="5">
        <v>1</v>
      </c>
      <c r="G33" s="59">
        <v>1</v>
      </c>
      <c r="H33" s="59">
        <f>_xlfn.XLOOKUP(C33,'[1]5A_CD'!$C:$C,'[1]5A_CD'!$J:$J,"")</f>
        <v>1</v>
      </c>
      <c r="I33" s="97">
        <f t="shared" si="14"/>
        <v>32.519999999999996</v>
      </c>
      <c r="J33" s="33">
        <f t="shared" si="0"/>
        <v>3.5999999999999996</v>
      </c>
      <c r="K33" s="33">
        <f t="shared" si="1"/>
        <v>3.5999999999999996</v>
      </c>
      <c r="L33" s="57"/>
      <c r="M33" s="44">
        <v>0.8</v>
      </c>
      <c r="N33" s="5">
        <v>0.5</v>
      </c>
      <c r="O33" s="5">
        <v>0.5</v>
      </c>
      <c r="P33" s="5">
        <v>0</v>
      </c>
      <c r="Q33" s="5">
        <v>0</v>
      </c>
      <c r="R33" s="48">
        <f t="shared" si="2"/>
        <v>0.36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48">
        <f t="shared" si="3"/>
        <v>0</v>
      </c>
      <c r="Y33" s="44">
        <v>0</v>
      </c>
      <c r="Z33" s="5">
        <v>0</v>
      </c>
      <c r="AA33" s="5">
        <v>0</v>
      </c>
      <c r="AB33" s="5">
        <v>0</v>
      </c>
      <c r="AC33" s="5">
        <v>0</v>
      </c>
      <c r="AD33" s="48">
        <f t="shared" si="4"/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48">
        <f t="shared" si="5"/>
        <v>0</v>
      </c>
      <c r="AK33" s="34">
        <v>0</v>
      </c>
      <c r="AL33" s="5">
        <v>0</v>
      </c>
      <c r="AM33" s="5">
        <v>0</v>
      </c>
      <c r="AN33" s="5">
        <v>0</v>
      </c>
      <c r="AO33" s="5">
        <v>0</v>
      </c>
      <c r="AP33" s="48">
        <f t="shared" si="6"/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48">
        <f t="shared" si="7"/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48">
        <f t="shared" si="8"/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48">
        <f t="shared" si="9"/>
        <v>0</v>
      </c>
      <c r="BI33" s="107"/>
      <c r="BJ33" s="5"/>
      <c r="BK33" s="5"/>
      <c r="BL33" s="5"/>
      <c r="BM33" s="5"/>
      <c r="BN33" s="5"/>
      <c r="BO33" s="48">
        <f t="shared" si="10"/>
        <v>0</v>
      </c>
      <c r="BP33" s="5"/>
      <c r="BQ33" s="5"/>
      <c r="BR33" s="5"/>
      <c r="BS33" s="5"/>
      <c r="BT33" s="5"/>
      <c r="BU33" s="48">
        <f t="shared" si="11"/>
        <v>0</v>
      </c>
      <c r="BV33" s="5"/>
      <c r="BW33" s="5"/>
      <c r="BX33" s="5"/>
      <c r="BY33" s="5"/>
      <c r="BZ33" s="5"/>
      <c r="CA33" s="48">
        <f t="shared" si="12"/>
        <v>0</v>
      </c>
      <c r="CB33" s="5"/>
      <c r="CC33" s="5"/>
      <c r="CD33" s="5"/>
      <c r="CE33" s="5"/>
      <c r="CF33" s="5"/>
      <c r="CG33" s="48">
        <f t="shared" si="13"/>
        <v>0</v>
      </c>
    </row>
    <row r="34" spans="1:85" ht="16" x14ac:dyDescent="0.2">
      <c r="A34" s="7" t="s">
        <v>234</v>
      </c>
      <c r="B34" s="7">
        <v>1</v>
      </c>
      <c r="C34" s="14" t="s">
        <v>233</v>
      </c>
      <c r="D34" s="8">
        <v>1</v>
      </c>
      <c r="E34" s="7">
        <v>1</v>
      </c>
      <c r="F34" s="7">
        <v>1</v>
      </c>
      <c r="G34" s="59">
        <v>1</v>
      </c>
      <c r="H34" s="59">
        <f>_xlfn.XLOOKUP(C34,'[1]5A_CD'!$C:$C,'[1]5A_CD'!$J:$J,"")</f>
        <v>1</v>
      </c>
      <c r="I34" s="97">
        <f t="shared" si="14"/>
        <v>90.759999999999991</v>
      </c>
      <c r="J34" s="33">
        <f t="shared" si="0"/>
        <v>86.8</v>
      </c>
      <c r="K34" s="33">
        <f t="shared" si="1"/>
        <v>86.8</v>
      </c>
      <c r="L34" s="57"/>
      <c r="M34" s="45">
        <v>1</v>
      </c>
      <c r="N34" s="7">
        <v>1</v>
      </c>
      <c r="O34" s="7">
        <v>1</v>
      </c>
      <c r="P34" s="7">
        <v>1</v>
      </c>
      <c r="Q34" s="7">
        <v>1</v>
      </c>
      <c r="R34" s="48">
        <f t="shared" si="2"/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48">
        <f t="shared" si="3"/>
        <v>1</v>
      </c>
      <c r="Y34" s="45">
        <v>1</v>
      </c>
      <c r="Z34" s="7">
        <v>1</v>
      </c>
      <c r="AA34" s="7">
        <v>1</v>
      </c>
      <c r="AB34" s="7">
        <v>1</v>
      </c>
      <c r="AC34" s="7">
        <v>1</v>
      </c>
      <c r="AD34" s="48">
        <f t="shared" si="4"/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48">
        <f t="shared" si="5"/>
        <v>1</v>
      </c>
      <c r="AK34" s="35">
        <v>1</v>
      </c>
      <c r="AL34" s="7">
        <v>1</v>
      </c>
      <c r="AM34" s="7">
        <v>1</v>
      </c>
      <c r="AN34" s="7">
        <v>1</v>
      </c>
      <c r="AO34" s="7">
        <v>1</v>
      </c>
      <c r="AP34" s="48">
        <f t="shared" si="6"/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48">
        <f t="shared" si="7"/>
        <v>1</v>
      </c>
      <c r="AW34" s="7">
        <v>0.5</v>
      </c>
      <c r="AX34" s="7">
        <v>0.2</v>
      </c>
      <c r="AY34" s="7">
        <v>0</v>
      </c>
      <c r="AZ34" s="7">
        <v>0</v>
      </c>
      <c r="BA34" s="7">
        <v>0</v>
      </c>
      <c r="BB34" s="48">
        <f t="shared" si="8"/>
        <v>0.13999999999999999</v>
      </c>
      <c r="BC34" s="7">
        <v>0.5</v>
      </c>
      <c r="BD34" s="7">
        <v>0.5</v>
      </c>
      <c r="BE34" s="7">
        <v>0</v>
      </c>
      <c r="BF34" s="7">
        <v>0</v>
      </c>
      <c r="BG34" s="7">
        <v>0</v>
      </c>
      <c r="BH34" s="48">
        <f t="shared" si="9"/>
        <v>0.2</v>
      </c>
      <c r="BI34" s="107"/>
      <c r="BJ34" s="7"/>
      <c r="BK34" s="7"/>
      <c r="BL34" s="7"/>
      <c r="BM34" s="7"/>
      <c r="BN34" s="7"/>
      <c r="BO34" s="48">
        <f t="shared" si="10"/>
        <v>0</v>
      </c>
      <c r="BP34" s="7"/>
      <c r="BQ34" s="7"/>
      <c r="BR34" s="7"/>
      <c r="BS34" s="7"/>
      <c r="BT34" s="7"/>
      <c r="BU34" s="48">
        <f t="shared" si="11"/>
        <v>0</v>
      </c>
      <c r="BV34" s="7"/>
      <c r="BW34" s="7"/>
      <c r="BX34" s="7"/>
      <c r="BY34" s="7"/>
      <c r="BZ34" s="7"/>
      <c r="CA34" s="48">
        <f t="shared" si="12"/>
        <v>0</v>
      </c>
      <c r="CB34" s="7"/>
      <c r="CC34" s="7"/>
      <c r="CD34" s="7"/>
      <c r="CE34" s="7"/>
      <c r="CF34" s="7"/>
      <c r="CG34" s="48">
        <f t="shared" si="13"/>
        <v>0</v>
      </c>
    </row>
    <row r="35" spans="1:85" ht="16" x14ac:dyDescent="0.2">
      <c r="A35" s="5" t="s">
        <v>232</v>
      </c>
      <c r="B35" s="5">
        <v>1</v>
      </c>
      <c r="C35" s="13" t="s">
        <v>231</v>
      </c>
      <c r="D35" s="6">
        <v>1</v>
      </c>
      <c r="E35" s="5"/>
      <c r="F35" s="5">
        <v>1</v>
      </c>
      <c r="G35" s="59">
        <v>1</v>
      </c>
      <c r="H35" s="59">
        <f>_xlfn.XLOOKUP(C35,'[1]5A_CD'!$C:$C,'[1]5A_CD'!$J:$J,"")</f>
        <v>1</v>
      </c>
      <c r="I35" s="97">
        <f t="shared" si="14"/>
        <v>97.899999999999991</v>
      </c>
      <c r="J35" s="33">
        <f t="shared" si="0"/>
        <v>97</v>
      </c>
      <c r="K35" s="33">
        <f t="shared" si="1"/>
        <v>97</v>
      </c>
      <c r="L35" s="57"/>
      <c r="M35" s="44">
        <v>1</v>
      </c>
      <c r="N35" s="5">
        <v>0.8</v>
      </c>
      <c r="O35" s="5">
        <v>0.8</v>
      </c>
      <c r="P35" s="5">
        <v>0.8</v>
      </c>
      <c r="Q35" s="5">
        <v>0.8</v>
      </c>
      <c r="R35" s="48">
        <f t="shared" si="2"/>
        <v>0.84000000000000008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48">
        <f t="shared" si="3"/>
        <v>1</v>
      </c>
      <c r="Y35" s="44">
        <v>1</v>
      </c>
      <c r="Z35" s="5">
        <v>0.3</v>
      </c>
      <c r="AA35" s="5">
        <v>0.3</v>
      </c>
      <c r="AB35" s="5">
        <v>0.8</v>
      </c>
      <c r="AC35" s="5">
        <v>0.8</v>
      </c>
      <c r="AD35" s="48">
        <f t="shared" si="4"/>
        <v>0.64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48">
        <f t="shared" si="5"/>
        <v>1</v>
      </c>
      <c r="AK35" s="34">
        <v>1</v>
      </c>
      <c r="AL35" s="5">
        <v>1</v>
      </c>
      <c r="AM35" s="5">
        <v>1</v>
      </c>
      <c r="AN35" s="5">
        <v>1</v>
      </c>
      <c r="AO35" s="5">
        <v>1</v>
      </c>
      <c r="AP35" s="48">
        <f t="shared" si="6"/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48">
        <f t="shared" si="7"/>
        <v>1</v>
      </c>
      <c r="AW35" s="5">
        <v>0.5</v>
      </c>
      <c r="AX35" s="5">
        <v>1</v>
      </c>
      <c r="AY35" s="5">
        <v>0.5</v>
      </c>
      <c r="AZ35" s="5">
        <v>0.5</v>
      </c>
      <c r="BA35" s="5">
        <v>0.5</v>
      </c>
      <c r="BB35" s="48">
        <f t="shared" si="8"/>
        <v>0.6</v>
      </c>
      <c r="BC35" s="5">
        <v>0.5</v>
      </c>
      <c r="BD35" s="5">
        <v>1</v>
      </c>
      <c r="BE35" s="5">
        <v>0.5</v>
      </c>
      <c r="BF35" s="5">
        <v>0.5</v>
      </c>
      <c r="BG35" s="5">
        <v>0.5</v>
      </c>
      <c r="BH35" s="48">
        <f t="shared" si="9"/>
        <v>0.6</v>
      </c>
      <c r="BI35" s="107"/>
      <c r="BJ35" s="5">
        <v>0.5</v>
      </c>
      <c r="BK35" s="5">
        <v>11</v>
      </c>
      <c r="BL35" s="5">
        <v>0.5</v>
      </c>
      <c r="BM35" s="5">
        <v>0.5</v>
      </c>
      <c r="BN35" s="5">
        <v>0.5</v>
      </c>
      <c r="BO35" s="48">
        <f t="shared" si="10"/>
        <v>2.6</v>
      </c>
      <c r="BP35" s="5"/>
      <c r="BQ35" s="5"/>
      <c r="BR35" s="5"/>
      <c r="BS35" s="5"/>
      <c r="BT35" s="5"/>
      <c r="BU35" s="48">
        <f t="shared" si="11"/>
        <v>0</v>
      </c>
      <c r="BV35" s="5"/>
      <c r="BW35" s="5"/>
      <c r="BX35" s="5"/>
      <c r="BY35" s="5"/>
      <c r="BZ35" s="5"/>
      <c r="CA35" s="48">
        <f t="shared" si="12"/>
        <v>0</v>
      </c>
      <c r="CB35" s="5"/>
      <c r="CC35" s="5"/>
      <c r="CD35" s="5"/>
      <c r="CE35" s="5"/>
      <c r="CF35" s="5"/>
      <c r="CG35" s="48">
        <f t="shared" si="13"/>
        <v>0</v>
      </c>
    </row>
    <row r="36" spans="1:85" ht="16" x14ac:dyDescent="0.2">
      <c r="A36" s="7" t="s">
        <v>230</v>
      </c>
      <c r="B36" s="7">
        <v>1</v>
      </c>
      <c r="C36" s="14" t="s">
        <v>229</v>
      </c>
      <c r="D36" s="8"/>
      <c r="E36" s="7"/>
      <c r="F36" s="7">
        <v>1</v>
      </c>
      <c r="G36" s="59">
        <v>1</v>
      </c>
      <c r="H36" s="59">
        <f>_xlfn.XLOOKUP(C36,'[1]5A_CD'!$C:$C,'[1]5A_CD'!$J:$J,"")</f>
        <v>0.9285714285714286</v>
      </c>
      <c r="I36" s="97">
        <f t="shared" si="14"/>
        <v>85.005714285714291</v>
      </c>
      <c r="J36" s="33">
        <f t="shared" si="0"/>
        <v>79.599999999999994</v>
      </c>
      <c r="K36" s="33">
        <f t="shared" si="1"/>
        <v>79.599999999999994</v>
      </c>
      <c r="L36" s="57"/>
      <c r="M36" s="45">
        <v>1</v>
      </c>
      <c r="N36" s="7">
        <v>1</v>
      </c>
      <c r="O36" s="7">
        <v>1</v>
      </c>
      <c r="P36" s="7">
        <v>1</v>
      </c>
      <c r="Q36" s="7">
        <v>1</v>
      </c>
      <c r="R36" s="48">
        <f t="shared" si="2"/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48">
        <f t="shared" si="3"/>
        <v>1</v>
      </c>
      <c r="Y36" s="45">
        <v>1</v>
      </c>
      <c r="Z36" s="7">
        <v>0.8</v>
      </c>
      <c r="AA36" s="7">
        <v>0.8</v>
      </c>
      <c r="AB36" s="7">
        <v>0.8</v>
      </c>
      <c r="AC36" s="7">
        <v>0.8</v>
      </c>
      <c r="AD36" s="48">
        <f t="shared" si="4"/>
        <v>0.84000000000000008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48">
        <f t="shared" si="5"/>
        <v>1</v>
      </c>
      <c r="AK36" s="35">
        <v>1</v>
      </c>
      <c r="AL36" s="7">
        <v>1</v>
      </c>
      <c r="AM36" s="7">
        <v>1</v>
      </c>
      <c r="AN36" s="7">
        <v>1</v>
      </c>
      <c r="AO36" s="7">
        <v>1</v>
      </c>
      <c r="AP36" s="48">
        <f t="shared" si="6"/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48">
        <f t="shared" si="7"/>
        <v>1</v>
      </c>
      <c r="AW36" s="7">
        <v>0.25</v>
      </c>
      <c r="AX36" s="7">
        <v>0</v>
      </c>
      <c r="AY36" s="7">
        <v>0</v>
      </c>
      <c r="AZ36" s="7">
        <v>0</v>
      </c>
      <c r="BA36" s="7">
        <v>0</v>
      </c>
      <c r="BB36" s="48">
        <f t="shared" si="8"/>
        <v>0.05</v>
      </c>
      <c r="BC36" s="7">
        <v>0.25</v>
      </c>
      <c r="BD36" s="7">
        <v>0</v>
      </c>
      <c r="BE36" s="7">
        <v>0</v>
      </c>
      <c r="BF36" s="7">
        <v>0</v>
      </c>
      <c r="BG36" s="7">
        <v>0</v>
      </c>
      <c r="BH36" s="48">
        <f t="shared" si="9"/>
        <v>0.05</v>
      </c>
      <c r="BI36" s="107"/>
      <c r="BJ36" s="7"/>
      <c r="BK36" s="7"/>
      <c r="BL36" s="7"/>
      <c r="BM36" s="7"/>
      <c r="BN36" s="7"/>
      <c r="BO36" s="48">
        <f t="shared" si="10"/>
        <v>0</v>
      </c>
      <c r="BP36" s="7"/>
      <c r="BQ36" s="7"/>
      <c r="BR36" s="7"/>
      <c r="BS36" s="7"/>
      <c r="BT36" s="7"/>
      <c r="BU36" s="48">
        <f t="shared" si="11"/>
        <v>0</v>
      </c>
      <c r="BV36" s="7"/>
      <c r="BW36" s="7"/>
      <c r="BX36" s="7"/>
      <c r="BY36" s="7"/>
      <c r="BZ36" s="7"/>
      <c r="CA36" s="48">
        <f t="shared" si="12"/>
        <v>0</v>
      </c>
      <c r="CB36" s="7"/>
      <c r="CC36" s="7"/>
      <c r="CD36" s="7"/>
      <c r="CE36" s="7"/>
      <c r="CF36" s="7"/>
      <c r="CG36" s="48">
        <f t="shared" si="13"/>
        <v>0</v>
      </c>
    </row>
    <row r="37" spans="1:85" ht="16" x14ac:dyDescent="0.2">
      <c r="A37" s="5" t="s">
        <v>228</v>
      </c>
      <c r="B37" s="5">
        <v>1</v>
      </c>
      <c r="C37" s="13" t="s">
        <v>227</v>
      </c>
      <c r="D37" s="6">
        <v>1</v>
      </c>
      <c r="E37" s="5"/>
      <c r="F37" s="5">
        <v>1</v>
      </c>
      <c r="G37" s="59">
        <v>1</v>
      </c>
      <c r="H37" s="59">
        <f>_xlfn.XLOOKUP(C37,'[1]5A_CD'!$C:$C,'[1]5A_CD'!$J:$J,"")</f>
        <v>1</v>
      </c>
      <c r="I37" s="97">
        <f t="shared" si="14"/>
        <v>96.5</v>
      </c>
      <c r="J37" s="33">
        <f t="shared" si="0"/>
        <v>95</v>
      </c>
      <c r="K37" s="33">
        <f t="shared" si="1"/>
        <v>95</v>
      </c>
      <c r="L37" s="57">
        <v>15</v>
      </c>
      <c r="M37" s="44">
        <v>1</v>
      </c>
      <c r="N37" s="5">
        <v>1</v>
      </c>
      <c r="O37" s="5">
        <v>1</v>
      </c>
      <c r="P37" s="5">
        <v>1</v>
      </c>
      <c r="Q37" s="5">
        <v>1</v>
      </c>
      <c r="R37" s="48">
        <f t="shared" si="2"/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48">
        <f t="shared" si="3"/>
        <v>1</v>
      </c>
      <c r="Y37" s="44">
        <v>1</v>
      </c>
      <c r="Z37" s="5">
        <v>1</v>
      </c>
      <c r="AA37" s="5">
        <v>1</v>
      </c>
      <c r="AB37" s="5">
        <v>1</v>
      </c>
      <c r="AC37" s="5">
        <v>1</v>
      </c>
      <c r="AD37" s="48">
        <f t="shared" si="4"/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48">
        <f t="shared" si="5"/>
        <v>1</v>
      </c>
      <c r="AK37" s="34">
        <v>1</v>
      </c>
      <c r="AL37" s="5">
        <v>1</v>
      </c>
      <c r="AM37" s="5">
        <v>1</v>
      </c>
      <c r="AN37" s="5">
        <v>1</v>
      </c>
      <c r="AO37" s="5">
        <v>1</v>
      </c>
      <c r="AP37" s="48">
        <f t="shared" si="6"/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48">
        <f t="shared" si="7"/>
        <v>1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48">
        <f t="shared" si="8"/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48">
        <f t="shared" si="9"/>
        <v>0</v>
      </c>
      <c r="BI37" s="107"/>
      <c r="BJ37" s="5"/>
      <c r="BK37" s="5"/>
      <c r="BL37" s="5"/>
      <c r="BM37" s="5"/>
      <c r="BN37" s="5"/>
      <c r="BO37" s="48">
        <f t="shared" si="10"/>
        <v>0</v>
      </c>
      <c r="BP37" s="5"/>
      <c r="BQ37" s="5"/>
      <c r="BR37" s="5"/>
      <c r="BS37" s="5"/>
      <c r="BT37" s="5"/>
      <c r="BU37" s="48">
        <f t="shared" si="11"/>
        <v>0</v>
      </c>
      <c r="BV37" s="5"/>
      <c r="BW37" s="5"/>
      <c r="BX37" s="5"/>
      <c r="BY37" s="5"/>
      <c r="BZ37" s="5"/>
      <c r="CA37" s="48">
        <f t="shared" si="12"/>
        <v>0</v>
      </c>
      <c r="CB37" s="5"/>
      <c r="CC37" s="5"/>
      <c r="CD37" s="5"/>
      <c r="CE37" s="5"/>
      <c r="CF37" s="5"/>
      <c r="CG37" s="48">
        <f t="shared" si="13"/>
        <v>0</v>
      </c>
    </row>
    <row r="38" spans="1:85" ht="16" x14ac:dyDescent="0.2">
      <c r="A38" s="7" t="s">
        <v>226</v>
      </c>
      <c r="B38" s="7">
        <v>1</v>
      </c>
      <c r="C38" s="14" t="s">
        <v>225</v>
      </c>
      <c r="D38" s="8">
        <v>1</v>
      </c>
      <c r="E38" s="7"/>
      <c r="F38" s="7">
        <v>1</v>
      </c>
      <c r="G38" s="59">
        <v>1</v>
      </c>
      <c r="H38" s="59">
        <f>_xlfn.XLOOKUP(C38,'[1]5A_CD'!$C:$C,'[1]5A_CD'!$J:$J,"")</f>
        <v>1</v>
      </c>
      <c r="I38" s="97">
        <f t="shared" si="14"/>
        <v>68.674999999999997</v>
      </c>
      <c r="J38" s="33">
        <f t="shared" si="0"/>
        <v>55.25</v>
      </c>
      <c r="K38" s="33">
        <f t="shared" si="1"/>
        <v>55.25</v>
      </c>
      <c r="L38" s="57"/>
      <c r="M38" s="45">
        <v>1</v>
      </c>
      <c r="N38" s="7">
        <v>1</v>
      </c>
      <c r="O38" s="7">
        <v>1</v>
      </c>
      <c r="P38" s="7">
        <v>1</v>
      </c>
      <c r="Q38" s="7">
        <v>1</v>
      </c>
      <c r="R38" s="48">
        <f t="shared" si="2"/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48">
        <f t="shared" si="3"/>
        <v>1</v>
      </c>
      <c r="Y38" s="45">
        <v>1</v>
      </c>
      <c r="Z38" s="7">
        <v>1</v>
      </c>
      <c r="AA38" s="7">
        <v>1</v>
      </c>
      <c r="AB38" s="7">
        <v>0</v>
      </c>
      <c r="AC38" s="7">
        <v>1</v>
      </c>
      <c r="AD38" s="48">
        <f t="shared" si="4"/>
        <v>0.8</v>
      </c>
      <c r="AE38" s="7">
        <v>0.75</v>
      </c>
      <c r="AF38" s="7">
        <v>0.75</v>
      </c>
      <c r="AG38" s="7">
        <v>0.75</v>
      </c>
      <c r="AH38" s="7">
        <v>0.25</v>
      </c>
      <c r="AI38" s="7">
        <v>0.25</v>
      </c>
      <c r="AJ38" s="48">
        <f t="shared" si="5"/>
        <v>0.55000000000000004</v>
      </c>
      <c r="AK38" s="35">
        <v>0</v>
      </c>
      <c r="AL38" s="7">
        <v>0</v>
      </c>
      <c r="AM38" s="7">
        <v>0</v>
      </c>
      <c r="AN38" s="7">
        <v>0</v>
      </c>
      <c r="AO38" s="7">
        <v>0</v>
      </c>
      <c r="AP38" s="48">
        <f t="shared" si="6"/>
        <v>0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48">
        <f t="shared" si="7"/>
        <v>1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48">
        <f t="shared" si="8"/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48">
        <f t="shared" si="9"/>
        <v>0</v>
      </c>
      <c r="BI38" s="107"/>
      <c r="BJ38" s="7"/>
      <c r="BK38" s="7"/>
      <c r="BL38" s="7"/>
      <c r="BM38" s="7"/>
      <c r="BN38" s="7"/>
      <c r="BO38" s="48">
        <f t="shared" si="10"/>
        <v>0</v>
      </c>
      <c r="BP38" s="7"/>
      <c r="BQ38" s="7"/>
      <c r="BR38" s="7"/>
      <c r="BS38" s="7"/>
      <c r="BT38" s="7"/>
      <c r="BU38" s="48">
        <f t="shared" si="11"/>
        <v>0</v>
      </c>
      <c r="BV38" s="7"/>
      <c r="BW38" s="7"/>
      <c r="BX38" s="7"/>
      <c r="BY38" s="7"/>
      <c r="BZ38" s="7"/>
      <c r="CA38" s="48">
        <f t="shared" si="12"/>
        <v>0</v>
      </c>
      <c r="CB38" s="7"/>
      <c r="CC38" s="7"/>
      <c r="CD38" s="7"/>
      <c r="CE38" s="7"/>
      <c r="CF38" s="7"/>
      <c r="CG38" s="48">
        <f t="shared" si="13"/>
        <v>0</v>
      </c>
    </row>
    <row r="39" spans="1:85" ht="17" thickBot="1" x14ac:dyDescent="0.25">
      <c r="A39" s="5" t="s">
        <v>224</v>
      </c>
      <c r="B39" s="5">
        <v>1</v>
      </c>
      <c r="C39" s="13" t="s">
        <v>223</v>
      </c>
      <c r="D39" s="6">
        <v>1</v>
      </c>
      <c r="E39" s="5"/>
      <c r="F39" s="5">
        <v>1</v>
      </c>
      <c r="G39" s="59">
        <v>1</v>
      </c>
      <c r="H39" s="59">
        <f>_xlfn.XLOOKUP(C39,'[1]5A_CD'!$C:$C,'[1]5A_CD'!$J:$J,"")</f>
        <v>1</v>
      </c>
      <c r="I39" s="97">
        <f t="shared" si="14"/>
        <v>100</v>
      </c>
      <c r="J39" s="33">
        <f t="shared" si="0"/>
        <v>100</v>
      </c>
      <c r="K39" s="33">
        <f t="shared" si="1"/>
        <v>100</v>
      </c>
      <c r="L39" s="58"/>
      <c r="M39" s="46">
        <v>1</v>
      </c>
      <c r="N39" s="47">
        <v>1</v>
      </c>
      <c r="O39" s="47">
        <v>1</v>
      </c>
      <c r="P39" s="47">
        <v>1</v>
      </c>
      <c r="Q39" s="47">
        <v>1</v>
      </c>
      <c r="R39" s="48">
        <f t="shared" si="2"/>
        <v>1</v>
      </c>
      <c r="S39" s="47">
        <v>1</v>
      </c>
      <c r="T39" s="47">
        <v>1</v>
      </c>
      <c r="U39" s="47">
        <v>1</v>
      </c>
      <c r="V39" s="47">
        <v>1</v>
      </c>
      <c r="W39" s="47">
        <v>1</v>
      </c>
      <c r="X39" s="48">
        <f t="shared" si="3"/>
        <v>1</v>
      </c>
      <c r="Y39" s="46">
        <v>1</v>
      </c>
      <c r="Z39" s="47">
        <v>1</v>
      </c>
      <c r="AA39" s="47">
        <v>1</v>
      </c>
      <c r="AB39" s="47">
        <v>1</v>
      </c>
      <c r="AC39" s="47">
        <v>1</v>
      </c>
      <c r="AD39" s="48">
        <f t="shared" si="4"/>
        <v>1</v>
      </c>
      <c r="AE39" s="47">
        <v>1</v>
      </c>
      <c r="AF39" s="47">
        <v>1</v>
      </c>
      <c r="AG39" s="47">
        <v>1</v>
      </c>
      <c r="AH39" s="47">
        <v>1</v>
      </c>
      <c r="AI39" s="47">
        <v>1</v>
      </c>
      <c r="AJ39" s="48">
        <f t="shared" si="5"/>
        <v>1</v>
      </c>
      <c r="AK39" s="34">
        <v>1</v>
      </c>
      <c r="AL39" s="5">
        <v>1</v>
      </c>
      <c r="AM39" s="5">
        <v>1</v>
      </c>
      <c r="AN39" s="5">
        <v>1</v>
      </c>
      <c r="AO39" s="5">
        <v>1</v>
      </c>
      <c r="AP39" s="48">
        <f t="shared" si="6"/>
        <v>1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48">
        <f t="shared" si="7"/>
        <v>1</v>
      </c>
      <c r="AW39" s="5">
        <v>1</v>
      </c>
      <c r="AX39" s="5">
        <v>1</v>
      </c>
      <c r="AY39" s="5">
        <v>1</v>
      </c>
      <c r="AZ39" s="5">
        <v>1</v>
      </c>
      <c r="BA39" s="5">
        <v>1</v>
      </c>
      <c r="BB39" s="48">
        <f t="shared" si="8"/>
        <v>1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48">
        <f t="shared" si="9"/>
        <v>0</v>
      </c>
      <c r="BI39" s="108"/>
      <c r="BJ39" s="5"/>
      <c r="BK39" s="5"/>
      <c r="BL39" s="5"/>
      <c r="BM39" s="5"/>
      <c r="BN39" s="5"/>
      <c r="BO39" s="48">
        <f t="shared" si="10"/>
        <v>0</v>
      </c>
      <c r="BP39" s="5"/>
      <c r="BQ39" s="5"/>
      <c r="BR39" s="5"/>
      <c r="BS39" s="5"/>
      <c r="BT39" s="5"/>
      <c r="BU39" s="48">
        <f t="shared" si="11"/>
        <v>0</v>
      </c>
      <c r="BV39" s="5"/>
      <c r="BW39" s="5"/>
      <c r="BX39" s="5"/>
      <c r="BY39" s="5"/>
      <c r="BZ39" s="5"/>
      <c r="CA39" s="48">
        <f t="shared" si="12"/>
        <v>0</v>
      </c>
      <c r="CB39" s="5"/>
      <c r="CC39" s="5"/>
      <c r="CD39" s="5"/>
      <c r="CE39" s="5"/>
      <c r="CF39" s="5"/>
      <c r="CG39" s="48">
        <f t="shared" si="13"/>
        <v>0</v>
      </c>
    </row>
    <row r="40" spans="1:85" ht="16" x14ac:dyDescent="0.2">
      <c r="C40" s="15" t="s">
        <v>780</v>
      </c>
      <c r="F40" s="4">
        <v>1</v>
      </c>
      <c r="G40" s="59">
        <v>1</v>
      </c>
      <c r="H40" s="59">
        <f>_xlfn.XLOOKUP(C40,'[1]5A_CD'!$C:$C,'[1]5A_CD'!$J:$J,"")</f>
        <v>0</v>
      </c>
      <c r="I40" s="97">
        <f t="shared" si="14"/>
        <v>34</v>
      </c>
      <c r="J40" s="33">
        <f t="shared" si="0"/>
        <v>20</v>
      </c>
      <c r="K40" s="33">
        <f t="shared" ref="K40" si="15">R40*10+X40*10+AD40*15+AJ40*15+AP40*15+AV40*15+BB40*20+BH40*20+L40</f>
        <v>20</v>
      </c>
      <c r="L40" s="58"/>
      <c r="M40" s="45">
        <v>1</v>
      </c>
      <c r="N40" s="7">
        <v>1</v>
      </c>
      <c r="O40" s="7">
        <v>1</v>
      </c>
      <c r="P40" s="7">
        <v>1</v>
      </c>
      <c r="Q40" s="7">
        <v>1</v>
      </c>
      <c r="R40" s="48">
        <f t="shared" ref="R40" si="16">AVERAGE(M40:Q40)</f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48">
        <f t="shared" ref="X40" si="17">AVERAGE(S40:W40)</f>
        <v>1</v>
      </c>
      <c r="Y40" s="45">
        <v>0</v>
      </c>
      <c r="Z40" s="7">
        <v>0</v>
      </c>
      <c r="AA40" s="7">
        <v>0</v>
      </c>
      <c r="AB40" s="7">
        <v>0</v>
      </c>
      <c r="AC40" s="7">
        <v>0</v>
      </c>
      <c r="AD40" s="48">
        <f t="shared" ref="AD40" si="18">AVERAGE(Y40:AC40)</f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48">
        <f t="shared" ref="AJ40" si="19">AVERAGE(AE40:AI40)</f>
        <v>0</v>
      </c>
      <c r="AK40" s="35">
        <v>0</v>
      </c>
      <c r="AL40" s="7">
        <v>0</v>
      </c>
      <c r="AM40" s="7">
        <v>0</v>
      </c>
      <c r="AN40" s="7">
        <v>0</v>
      </c>
      <c r="AO40" s="7">
        <v>0</v>
      </c>
      <c r="AP40" s="48">
        <f t="shared" ref="AP40" si="20">AVERAGE(AK40:AO40)</f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48">
        <f t="shared" ref="AV40" si="21">AVERAGE(AQ40:AU40)</f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48">
        <f t="shared" ref="BB40" si="22">AVERAGE(AW40:BA40)</f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48">
        <f t="shared" ref="BH40" si="23">AVERAGE(BC40:BG40)</f>
        <v>0</v>
      </c>
      <c r="BJ40" s="7"/>
      <c r="BK40" s="7"/>
      <c r="BL40" s="7"/>
      <c r="BM40" s="7"/>
      <c r="BN40" s="7"/>
      <c r="BO40" s="48">
        <f t="shared" ref="BO40" si="24">SUM(BJ40:BN40)/5</f>
        <v>0</v>
      </c>
      <c r="BP40" s="7"/>
      <c r="BQ40" s="7"/>
      <c r="BR40" s="7"/>
      <c r="BS40" s="7"/>
      <c r="BT40" s="7"/>
      <c r="BU40" s="48">
        <f t="shared" ref="BU40" si="25">SUM(BP40:BT40)/5</f>
        <v>0</v>
      </c>
      <c r="BV40" s="7"/>
      <c r="BW40" s="7"/>
      <c r="BX40" s="7"/>
      <c r="BY40" s="7"/>
      <c r="BZ40" s="7"/>
      <c r="CA40" s="48">
        <f t="shared" ref="CA40" si="26">SUM(BV40:BZ40)/5</f>
        <v>0</v>
      </c>
      <c r="CB40" s="7"/>
      <c r="CC40" s="7"/>
      <c r="CD40" s="7"/>
      <c r="CE40" s="7"/>
      <c r="CF40" s="7"/>
      <c r="CG40" s="48">
        <f t="shared" ref="CG40" si="27">SUM(CB40:CF40)/5</f>
        <v>0</v>
      </c>
    </row>
  </sheetData>
  <mergeCells count="15">
    <mergeCell ref="CB1:CG1"/>
    <mergeCell ref="K1:K2"/>
    <mergeCell ref="BI1:BI2"/>
    <mergeCell ref="BI3:BI39"/>
    <mergeCell ref="AQ1:AV1"/>
    <mergeCell ref="AW1:BB1"/>
    <mergeCell ref="BC1:BH1"/>
    <mergeCell ref="BJ1:BO1"/>
    <mergeCell ref="BP1:BU1"/>
    <mergeCell ref="BV1:CA1"/>
    <mergeCell ref="M1:R1"/>
    <mergeCell ref="S1:X1"/>
    <mergeCell ref="Y1:AD1"/>
    <mergeCell ref="AE1:AJ1"/>
    <mergeCell ref="AK1:AP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1:AN36"/>
  <sheetViews>
    <sheetView topLeftCell="C1" zoomScale="184" workbookViewId="0">
      <pane ySplit="2" topLeftCell="A4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1.1640625" style="4" hidden="1" customWidth="1"/>
    <col min="2" max="2" width="2.1640625" style="4" hidden="1" customWidth="1"/>
    <col min="3" max="3" width="34.33203125" style="15" bestFit="1" customWidth="1"/>
    <col min="4" max="4" width="8.33203125" style="4" hidden="1" customWidth="1"/>
    <col min="5" max="5" width="6" style="4" hidden="1" customWidth="1"/>
    <col min="6" max="6" width="8.83203125" style="4" hidden="1" customWidth="1"/>
    <col min="7" max="7" width="6.5" style="4" bestFit="1" customWidth="1"/>
    <col min="8" max="9" width="8.83203125" style="4"/>
    <col min="10" max="10" width="10" style="82" bestFit="1" customWidth="1"/>
    <col min="11" max="16384" width="8.83203125" style="4"/>
  </cols>
  <sheetData>
    <row r="1" spans="1:40" x14ac:dyDescent="0.2">
      <c r="C1" s="15" t="s">
        <v>222</v>
      </c>
    </row>
    <row r="2" spans="1:40" ht="32" x14ac:dyDescent="0.2">
      <c r="A2" s="9" t="s">
        <v>1</v>
      </c>
      <c r="B2" s="9" t="s">
        <v>2</v>
      </c>
      <c r="C2" s="12" t="s">
        <v>3</v>
      </c>
      <c r="D2" s="9" t="s">
        <v>4</v>
      </c>
      <c r="E2" s="18" t="s">
        <v>735</v>
      </c>
      <c r="F2" s="9"/>
      <c r="G2" s="18" t="s">
        <v>751</v>
      </c>
      <c r="H2" s="9" t="s">
        <v>777</v>
      </c>
      <c r="I2" s="9" t="s">
        <v>778</v>
      </c>
      <c r="J2" s="9" t="s">
        <v>757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40" x14ac:dyDescent="0.2">
      <c r="A3" s="5" t="s">
        <v>221</v>
      </c>
      <c r="B3" s="5">
        <v>1</v>
      </c>
      <c r="C3" s="13" t="s">
        <v>220</v>
      </c>
      <c r="D3" s="5" t="s">
        <v>72</v>
      </c>
      <c r="E3" s="5"/>
      <c r="F3" s="5"/>
      <c r="G3" s="16">
        <v>95</v>
      </c>
      <c r="H3" s="90">
        <f>_xlfn.XLOOKUP(C3,[1]M08_CI!$C:$C,[1]M08_CI!$I:$I,"")</f>
        <v>1</v>
      </c>
      <c r="I3" s="5">
        <v>1</v>
      </c>
      <c r="J3" s="93">
        <f>G3*0.7+H3*20+I3*10</f>
        <v>96.5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7" t="s">
        <v>219</v>
      </c>
      <c r="B4" s="7">
        <v>1</v>
      </c>
      <c r="C4" s="14" t="s">
        <v>218</v>
      </c>
      <c r="D4" s="7" t="s">
        <v>171</v>
      </c>
      <c r="E4" s="7"/>
      <c r="F4" s="7"/>
      <c r="G4" s="16">
        <v>97.5</v>
      </c>
      <c r="H4" s="90">
        <f>_xlfn.XLOOKUP(C4,[1]M08_CI!$C:$C,[1]M08_CI!$I:$I,"")</f>
        <v>0.91304347826086951</v>
      </c>
      <c r="I4" s="7">
        <v>1</v>
      </c>
      <c r="J4" s="93">
        <f t="shared" ref="J4:J36" si="0">G4*0.7+H4*20+I4*10</f>
        <v>96.510869565217391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x14ac:dyDescent="0.2">
      <c r="A5" s="5" t="s">
        <v>217</v>
      </c>
      <c r="B5" s="5">
        <v>1</v>
      </c>
      <c r="C5" s="13" t="s">
        <v>216</v>
      </c>
      <c r="D5" s="5" t="s">
        <v>9</v>
      </c>
      <c r="E5" s="5"/>
      <c r="F5" s="5"/>
      <c r="G5" s="16">
        <v>50</v>
      </c>
      <c r="H5" s="90">
        <f>_xlfn.XLOOKUP(C5,[1]M08_CI!$C:$C,[1]M08_CI!$I:$I,"")</f>
        <v>0.91304347826086951</v>
      </c>
      <c r="I5" s="5">
        <v>1</v>
      </c>
      <c r="J5" s="93">
        <f t="shared" si="0"/>
        <v>63.260869565217391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s="70" customFormat="1" x14ac:dyDescent="0.2">
      <c r="A6" s="61" t="s">
        <v>215</v>
      </c>
      <c r="B6" s="61">
        <v>1</v>
      </c>
      <c r="C6" s="62" t="s">
        <v>214</v>
      </c>
      <c r="D6" s="61" t="s">
        <v>161</v>
      </c>
      <c r="E6" s="61"/>
      <c r="F6" s="61"/>
      <c r="G6" s="61"/>
      <c r="H6" s="90"/>
      <c r="I6" s="61"/>
      <c r="J6" s="93">
        <f t="shared" si="0"/>
        <v>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</row>
    <row r="7" spans="1:40" s="70" customFormat="1" x14ac:dyDescent="0.2">
      <c r="A7" s="61" t="s">
        <v>213</v>
      </c>
      <c r="B7" s="61">
        <v>1</v>
      </c>
      <c r="C7" s="62" t="s">
        <v>212</v>
      </c>
      <c r="D7" s="61" t="s">
        <v>72</v>
      </c>
      <c r="E7" s="61"/>
      <c r="F7" s="61"/>
      <c r="G7" s="61"/>
      <c r="H7" s="90"/>
      <c r="I7" s="61"/>
      <c r="J7" s="93">
        <f t="shared" si="0"/>
        <v>0</v>
      </c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</row>
    <row r="8" spans="1:40" x14ac:dyDescent="0.2">
      <c r="A8" s="7" t="s">
        <v>211</v>
      </c>
      <c r="B8" s="7">
        <v>1</v>
      </c>
      <c r="C8" s="14" t="s">
        <v>210</v>
      </c>
      <c r="D8" s="7" t="s">
        <v>161</v>
      </c>
      <c r="E8" s="7">
        <v>0.1</v>
      </c>
      <c r="F8" s="7">
        <v>1</v>
      </c>
      <c r="G8" s="16">
        <v>70</v>
      </c>
      <c r="H8" s="90">
        <f>_xlfn.XLOOKUP(C8,[1]M08_CI!$C:$C,[1]M08_CI!$I:$I,"")</f>
        <v>0.72727272727272729</v>
      </c>
      <c r="I8" s="7">
        <v>1</v>
      </c>
      <c r="J8" s="93">
        <f t="shared" si="0"/>
        <v>73.545454545454547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s="70" customFormat="1" x14ac:dyDescent="0.2">
      <c r="A9" s="61" t="s">
        <v>209</v>
      </c>
      <c r="B9" s="61">
        <v>1</v>
      </c>
      <c r="C9" s="62" t="s">
        <v>208</v>
      </c>
      <c r="D9" s="61" t="s">
        <v>72</v>
      </c>
      <c r="E9" s="61"/>
      <c r="F9" s="61"/>
      <c r="G9" s="61"/>
      <c r="H9" s="90"/>
      <c r="I9" s="61"/>
      <c r="J9" s="93">
        <f t="shared" si="0"/>
        <v>0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</row>
    <row r="10" spans="1:40" s="70" customFormat="1" x14ac:dyDescent="0.2">
      <c r="A10" s="61" t="s">
        <v>207</v>
      </c>
      <c r="B10" s="61">
        <v>1</v>
      </c>
      <c r="C10" s="62" t="s">
        <v>206</v>
      </c>
      <c r="D10" s="61" t="s">
        <v>151</v>
      </c>
      <c r="E10" s="61"/>
      <c r="F10" s="61"/>
      <c r="G10" s="61"/>
      <c r="H10" s="90"/>
      <c r="I10" s="61"/>
      <c r="J10" s="93">
        <f t="shared" si="0"/>
        <v>0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</row>
    <row r="11" spans="1:40" x14ac:dyDescent="0.2">
      <c r="A11" s="73" t="s">
        <v>205</v>
      </c>
      <c r="B11" s="73">
        <v>1</v>
      </c>
      <c r="C11" s="74" t="s">
        <v>204</v>
      </c>
      <c r="D11" s="73" t="s">
        <v>168</v>
      </c>
      <c r="E11" s="73">
        <v>1</v>
      </c>
      <c r="F11" s="73">
        <v>1</v>
      </c>
      <c r="G11" s="73">
        <v>100</v>
      </c>
      <c r="H11" s="90">
        <f>_xlfn.XLOOKUP(C11,[1]M08_CI!$C:$C,[1]M08_CI!$I:$I,"")</f>
        <v>0.95652173913043481</v>
      </c>
      <c r="I11" s="73">
        <v>1</v>
      </c>
      <c r="J11" s="93">
        <f t="shared" si="0"/>
        <v>99.130434782608688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</row>
    <row r="12" spans="1:40" s="70" customFormat="1" x14ac:dyDescent="0.2">
      <c r="A12" s="61" t="s">
        <v>203</v>
      </c>
      <c r="B12" s="61">
        <v>1</v>
      </c>
      <c r="C12" s="62" t="s">
        <v>202</v>
      </c>
      <c r="D12" s="61" t="s">
        <v>154</v>
      </c>
      <c r="E12" s="61">
        <v>0.75</v>
      </c>
      <c r="F12" s="61">
        <v>1</v>
      </c>
      <c r="G12" s="61"/>
      <c r="H12" s="90"/>
      <c r="I12" s="61"/>
      <c r="J12" s="93">
        <f t="shared" si="0"/>
        <v>0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</row>
    <row r="13" spans="1:40" x14ac:dyDescent="0.2">
      <c r="A13" s="5" t="s">
        <v>201</v>
      </c>
      <c r="B13" s="5">
        <v>1</v>
      </c>
      <c r="C13" s="13" t="s">
        <v>200</v>
      </c>
      <c r="D13" s="5" t="s">
        <v>168</v>
      </c>
      <c r="E13" s="5"/>
      <c r="F13" s="5"/>
      <c r="G13" s="16">
        <v>90</v>
      </c>
      <c r="H13" s="90">
        <f>_xlfn.XLOOKUP(C13,[1]M08_CI!$C:$C,[1]M08_CI!$I:$I,"")</f>
        <v>4.3478260869565216E-2</v>
      </c>
      <c r="I13" s="5">
        <v>1</v>
      </c>
      <c r="J13" s="93">
        <f t="shared" si="0"/>
        <v>73.869565217391298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7" t="s">
        <v>199</v>
      </c>
      <c r="B14" s="7">
        <v>1</v>
      </c>
      <c r="C14" s="89" t="s">
        <v>198</v>
      </c>
      <c r="D14" s="7" t="s">
        <v>72</v>
      </c>
      <c r="E14" s="7">
        <v>1</v>
      </c>
      <c r="F14" s="7">
        <v>1</v>
      </c>
      <c r="G14" s="16">
        <f>70+10</f>
        <v>80</v>
      </c>
      <c r="H14" s="90">
        <f>_xlfn.XLOOKUP(C14,[1]M08_CI!$C:$C,[1]M08_CI!$I:$I,"")</f>
        <v>1</v>
      </c>
      <c r="I14" s="7">
        <v>1</v>
      </c>
      <c r="J14" s="93">
        <f t="shared" si="0"/>
        <v>86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s="70" customFormat="1" x14ac:dyDescent="0.2">
      <c r="A15" s="61" t="s">
        <v>197</v>
      </c>
      <c r="B15" s="61">
        <v>1</v>
      </c>
      <c r="C15" s="62" t="s">
        <v>196</v>
      </c>
      <c r="D15" s="61" t="s">
        <v>72</v>
      </c>
      <c r="E15" s="61"/>
      <c r="F15" s="61"/>
      <c r="G15" s="61"/>
      <c r="H15" s="90"/>
      <c r="I15" s="61"/>
      <c r="J15" s="93">
        <f t="shared" si="0"/>
        <v>0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</row>
    <row r="16" spans="1:40" x14ac:dyDescent="0.2">
      <c r="A16" s="7" t="s">
        <v>195</v>
      </c>
      <c r="B16" s="7">
        <v>1</v>
      </c>
      <c r="C16" s="14" t="s">
        <v>194</v>
      </c>
      <c r="D16" s="7" t="s">
        <v>168</v>
      </c>
      <c r="E16" s="7">
        <v>1</v>
      </c>
      <c r="F16" s="7">
        <v>1</v>
      </c>
      <c r="G16" s="16">
        <v>65</v>
      </c>
      <c r="H16" s="90">
        <f>_xlfn.XLOOKUP(C16,[1]M08_CI!$C:$C,[1]M08_CI!$I:$I,"")</f>
        <v>0.86363636363636365</v>
      </c>
      <c r="I16" s="7">
        <v>1</v>
      </c>
      <c r="J16" s="93">
        <f t="shared" si="0"/>
        <v>72.77272727272728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x14ac:dyDescent="0.2">
      <c r="A17" s="5" t="s">
        <v>193</v>
      </c>
      <c r="B17" s="17" t="s">
        <v>192</v>
      </c>
      <c r="C17" s="13" t="s">
        <v>191</v>
      </c>
      <c r="D17" s="5" t="s">
        <v>168</v>
      </c>
      <c r="E17" s="5"/>
      <c r="F17" s="5"/>
      <c r="G17" s="16">
        <v>100</v>
      </c>
      <c r="H17" s="90">
        <f>_xlfn.XLOOKUP(C17,[1]M08_CI!$C:$C,[1]M08_CI!$I:$I,"")</f>
        <v>0.95652173913043481</v>
      </c>
      <c r="I17" s="5">
        <v>1</v>
      </c>
      <c r="J17" s="93">
        <f t="shared" si="0"/>
        <v>99.130434782608688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7" t="s">
        <v>190</v>
      </c>
      <c r="B18" s="7">
        <v>1</v>
      </c>
      <c r="C18" s="89" t="s">
        <v>189</v>
      </c>
      <c r="D18" s="7" t="s">
        <v>188</v>
      </c>
      <c r="E18" s="7">
        <v>1</v>
      </c>
      <c r="F18" s="7"/>
      <c r="G18" s="16">
        <v>100</v>
      </c>
      <c r="H18" s="90">
        <f>_xlfn.XLOOKUP(C18,[1]M08_CI!$C:$C,[1]M08_CI!$I:$I,"")</f>
        <v>0.91304347826086951</v>
      </c>
      <c r="I18" s="7">
        <v>1</v>
      </c>
      <c r="J18" s="93">
        <f t="shared" si="0"/>
        <v>98.260869565217391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x14ac:dyDescent="0.2">
      <c r="A19" s="5" t="s">
        <v>187</v>
      </c>
      <c r="B19" s="5">
        <v>1</v>
      </c>
      <c r="C19" s="13" t="s">
        <v>186</v>
      </c>
      <c r="D19" s="5" t="s">
        <v>161</v>
      </c>
      <c r="E19" s="5"/>
      <c r="F19" s="5"/>
      <c r="G19" s="16">
        <v>100</v>
      </c>
      <c r="H19" s="90">
        <f>_xlfn.XLOOKUP(C19,[1]M08_CI!$C:$C,[1]M08_CI!$I:$I,"")</f>
        <v>0.90909090909090906</v>
      </c>
      <c r="I19" s="5">
        <v>1</v>
      </c>
      <c r="J19" s="93">
        <f t="shared" si="0"/>
        <v>98.181818181818187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s="70" customFormat="1" x14ac:dyDescent="0.2">
      <c r="A20" s="61" t="s">
        <v>185</v>
      </c>
      <c r="B20" s="61">
        <v>1</v>
      </c>
      <c r="C20" s="62" t="s">
        <v>184</v>
      </c>
      <c r="D20" s="61" t="s">
        <v>72</v>
      </c>
      <c r="E20" s="61"/>
      <c r="F20" s="61"/>
      <c r="G20" s="61"/>
      <c r="H20" s="90"/>
      <c r="I20" s="61"/>
      <c r="J20" s="93">
        <f t="shared" si="0"/>
        <v>0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</row>
    <row r="21" spans="1:40" x14ac:dyDescent="0.2">
      <c r="A21" s="5" t="s">
        <v>183</v>
      </c>
      <c r="B21" s="5">
        <v>1</v>
      </c>
      <c r="C21" s="13" t="s">
        <v>182</v>
      </c>
      <c r="D21" s="5" t="s">
        <v>9</v>
      </c>
      <c r="E21" s="5"/>
      <c r="F21" s="5"/>
      <c r="G21" s="16">
        <v>0</v>
      </c>
      <c r="H21" s="90">
        <f>_xlfn.XLOOKUP(C21,[1]M08_CI!$C:$C,[1]M08_CI!$I:$I,"")</f>
        <v>0.95652173913043481</v>
      </c>
      <c r="I21" s="5">
        <v>1</v>
      </c>
      <c r="J21" s="93">
        <f t="shared" si="0"/>
        <v>29.130434782608695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7" t="s">
        <v>181</v>
      </c>
      <c r="B22" s="7">
        <v>1</v>
      </c>
      <c r="C22" s="14" t="s">
        <v>180</v>
      </c>
      <c r="D22" s="7" t="s">
        <v>72</v>
      </c>
      <c r="E22" s="7"/>
      <c r="F22" s="7"/>
      <c r="G22" s="16">
        <v>25</v>
      </c>
      <c r="H22" s="90">
        <f>_xlfn.XLOOKUP(C22,[1]M08_CI!$C:$C,[1]M08_CI!$I:$I,"")</f>
        <v>1</v>
      </c>
      <c r="I22" s="7">
        <v>1</v>
      </c>
      <c r="J22" s="93">
        <f t="shared" si="0"/>
        <v>47.5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x14ac:dyDescent="0.2">
      <c r="A23" s="5" t="s">
        <v>179</v>
      </c>
      <c r="B23" s="5">
        <v>1</v>
      </c>
      <c r="C23" s="13" t="s">
        <v>178</v>
      </c>
      <c r="D23" s="5" t="s">
        <v>9</v>
      </c>
      <c r="E23" s="5">
        <v>1</v>
      </c>
      <c r="F23" s="5"/>
      <c r="G23" s="16">
        <v>100</v>
      </c>
      <c r="H23" s="90">
        <f>_xlfn.XLOOKUP(C23,[1]M08_CI!$C:$C,[1]M08_CI!$I:$I,"")</f>
        <v>0.73913043478260865</v>
      </c>
      <c r="I23" s="5">
        <v>1</v>
      </c>
      <c r="J23" s="93">
        <f t="shared" si="0"/>
        <v>94.782608695652172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7" t="s">
        <v>177</v>
      </c>
      <c r="B24" s="7">
        <v>1</v>
      </c>
      <c r="C24" s="14" t="s">
        <v>176</v>
      </c>
      <c r="D24" s="7" t="s">
        <v>72</v>
      </c>
      <c r="E24" s="7"/>
      <c r="F24" s="7"/>
      <c r="G24" s="16">
        <v>0</v>
      </c>
      <c r="H24" s="90">
        <f>_xlfn.XLOOKUP(C24,[1]M08_CI!$C:$C,[1]M08_CI!$I:$I,"")</f>
        <v>0.82608695652173914</v>
      </c>
      <c r="I24" s="7">
        <v>1</v>
      </c>
      <c r="J24" s="93">
        <f t="shared" si="0"/>
        <v>26.521739130434781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x14ac:dyDescent="0.2">
      <c r="A25" s="5" t="s">
        <v>175</v>
      </c>
      <c r="B25" s="5">
        <v>1</v>
      </c>
      <c r="C25" s="13" t="s">
        <v>174</v>
      </c>
      <c r="D25" s="5" t="s">
        <v>72</v>
      </c>
      <c r="E25" s="5"/>
      <c r="F25" s="5"/>
      <c r="G25" s="16">
        <v>0</v>
      </c>
      <c r="H25" s="90">
        <f>_xlfn.XLOOKUP(C25,[1]M08_CI!$C:$C,[1]M08_CI!$I:$I,"")</f>
        <v>4.3478260869565216E-2</v>
      </c>
      <c r="I25" s="5">
        <v>1</v>
      </c>
      <c r="J25" s="93">
        <f t="shared" si="0"/>
        <v>10.869565217391305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7" t="s">
        <v>173</v>
      </c>
      <c r="B26" s="7">
        <v>1</v>
      </c>
      <c r="C26" s="14" t="s">
        <v>172</v>
      </c>
      <c r="D26" s="7" t="s">
        <v>171</v>
      </c>
      <c r="E26" s="7">
        <v>1</v>
      </c>
      <c r="F26" s="7"/>
      <c r="G26" s="16">
        <v>47.5</v>
      </c>
      <c r="H26" s="90">
        <f>_xlfn.XLOOKUP(C26,[1]M08_CI!$C:$C,[1]M08_CI!$I:$I,"")</f>
        <v>0.91304347826086951</v>
      </c>
      <c r="I26" s="7">
        <v>1</v>
      </c>
      <c r="J26" s="93">
        <f t="shared" si="0"/>
        <v>61.510869565217391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x14ac:dyDescent="0.2">
      <c r="A27" s="5" t="s">
        <v>170</v>
      </c>
      <c r="B27" s="5">
        <v>1</v>
      </c>
      <c r="C27" s="13" t="s">
        <v>169</v>
      </c>
      <c r="D27" s="5" t="s">
        <v>168</v>
      </c>
      <c r="E27" s="5"/>
      <c r="F27" s="5"/>
      <c r="G27" s="16">
        <v>85</v>
      </c>
      <c r="H27" s="90">
        <f>_xlfn.XLOOKUP(C27,[1]M08_CI!$C:$C,[1]M08_CI!$I:$I,"")</f>
        <v>1</v>
      </c>
      <c r="I27" s="5">
        <v>1</v>
      </c>
      <c r="J27" s="93">
        <f t="shared" si="0"/>
        <v>89.5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7" t="s">
        <v>167</v>
      </c>
      <c r="B28" s="7">
        <v>1</v>
      </c>
      <c r="C28" s="14" t="s">
        <v>166</v>
      </c>
      <c r="D28" s="7" t="s">
        <v>154</v>
      </c>
      <c r="E28" s="7"/>
      <c r="F28" s="7"/>
      <c r="G28" s="16">
        <v>100</v>
      </c>
      <c r="H28" s="90">
        <f>_xlfn.XLOOKUP(C28,[1]M08_CI!$C:$C,[1]M08_CI!$I:$I,"")</f>
        <v>0.82608695652173914</v>
      </c>
      <c r="I28" s="7">
        <v>1</v>
      </c>
      <c r="J28" s="93">
        <f t="shared" si="0"/>
        <v>96.521739130434781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x14ac:dyDescent="0.2">
      <c r="A29" s="5" t="s">
        <v>165</v>
      </c>
      <c r="B29" s="5">
        <v>1</v>
      </c>
      <c r="C29" s="13" t="s">
        <v>164</v>
      </c>
      <c r="D29" s="5" t="s">
        <v>161</v>
      </c>
      <c r="E29" s="5">
        <v>1</v>
      </c>
      <c r="F29" s="5">
        <v>1</v>
      </c>
      <c r="G29" s="16">
        <v>100</v>
      </c>
      <c r="H29" s="90">
        <f>_xlfn.XLOOKUP(C29,[1]M08_CI!$C:$C,[1]M08_CI!$I:$I,"")</f>
        <v>0.95652173913043481</v>
      </c>
      <c r="I29" s="5">
        <v>1</v>
      </c>
      <c r="J29" s="93">
        <f t="shared" si="0"/>
        <v>99.130434782608688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s="70" customFormat="1" x14ac:dyDescent="0.2">
      <c r="A30" s="61" t="s">
        <v>163</v>
      </c>
      <c r="B30" s="61">
        <v>1</v>
      </c>
      <c r="C30" s="62" t="s">
        <v>162</v>
      </c>
      <c r="D30" s="61" t="s">
        <v>161</v>
      </c>
      <c r="E30" s="61"/>
      <c r="F30" s="61"/>
      <c r="G30" s="61"/>
      <c r="H30" s="90"/>
      <c r="I30" s="61"/>
      <c r="J30" s="93">
        <f t="shared" si="0"/>
        <v>0</v>
      </c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</row>
    <row r="31" spans="1:40" s="70" customFormat="1" x14ac:dyDescent="0.2">
      <c r="A31" s="61" t="s">
        <v>160</v>
      </c>
      <c r="B31" s="61">
        <v>1</v>
      </c>
      <c r="C31" s="62" t="s">
        <v>159</v>
      </c>
      <c r="D31" s="61" t="s">
        <v>154</v>
      </c>
      <c r="E31" s="61"/>
      <c r="F31" s="61"/>
      <c r="G31" s="61"/>
      <c r="H31" s="90"/>
      <c r="I31" s="61"/>
      <c r="J31" s="93">
        <f t="shared" si="0"/>
        <v>0</v>
      </c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</row>
    <row r="32" spans="1:40" s="70" customFormat="1" x14ac:dyDescent="0.2">
      <c r="A32" s="61" t="s">
        <v>158</v>
      </c>
      <c r="B32" s="61">
        <v>1</v>
      </c>
      <c r="C32" s="62" t="s">
        <v>157</v>
      </c>
      <c r="D32" s="61" t="s">
        <v>72</v>
      </c>
      <c r="E32" s="61"/>
      <c r="F32" s="61"/>
      <c r="G32" s="61"/>
      <c r="H32" s="90"/>
      <c r="I32" s="61"/>
      <c r="J32" s="93">
        <f t="shared" si="0"/>
        <v>0</v>
      </c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</row>
    <row r="33" spans="1:40" x14ac:dyDescent="0.2">
      <c r="A33" s="5" t="s">
        <v>156</v>
      </c>
      <c r="B33" s="5">
        <v>1</v>
      </c>
      <c r="C33" s="13" t="s">
        <v>155</v>
      </c>
      <c r="D33" s="5" t="s">
        <v>154</v>
      </c>
      <c r="E33" s="5"/>
      <c r="F33" s="5"/>
      <c r="G33" s="16">
        <v>25</v>
      </c>
      <c r="H33" s="90">
        <f>_xlfn.XLOOKUP(C33,[1]M08_CI!$C:$C,[1]M08_CI!$I:$I,"")</f>
        <v>0.86956521739130432</v>
      </c>
      <c r="I33" s="5">
        <v>1</v>
      </c>
      <c r="J33" s="93">
        <f t="shared" si="0"/>
        <v>44.891304347826086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7" t="s">
        <v>153</v>
      </c>
      <c r="B34" s="16" t="s">
        <v>2</v>
      </c>
      <c r="C34" s="14" t="s">
        <v>152</v>
      </c>
      <c r="D34" s="7" t="s">
        <v>151</v>
      </c>
      <c r="E34" s="7"/>
      <c r="F34" s="7"/>
      <c r="G34" s="16">
        <v>0</v>
      </c>
      <c r="H34" s="90">
        <f>_xlfn.XLOOKUP(C34,[1]M08_CI!$C:$C,[1]M08_CI!$I:$I,"")</f>
        <v>0.60869565217391308</v>
      </c>
      <c r="I34" s="7">
        <v>1</v>
      </c>
      <c r="J34" s="93">
        <f t="shared" si="0"/>
        <v>22.173913043478262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s="70" customFormat="1" x14ac:dyDescent="0.2">
      <c r="A35" s="61" t="s">
        <v>150</v>
      </c>
      <c r="B35" s="61">
        <v>1</v>
      </c>
      <c r="C35" s="62" t="s">
        <v>149</v>
      </c>
      <c r="D35" s="61" t="s">
        <v>72</v>
      </c>
      <c r="E35" s="61"/>
      <c r="F35" s="61"/>
      <c r="G35" s="61"/>
      <c r="H35" s="90"/>
      <c r="I35" s="61"/>
      <c r="J35" s="93">
        <f t="shared" si="0"/>
        <v>0</v>
      </c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</row>
    <row r="36" spans="1:40" x14ac:dyDescent="0.2">
      <c r="A36" s="7" t="s">
        <v>148</v>
      </c>
      <c r="B36" s="7">
        <v>1</v>
      </c>
      <c r="C36" s="14" t="s">
        <v>147</v>
      </c>
      <c r="D36" s="7" t="s">
        <v>72</v>
      </c>
      <c r="E36" s="7"/>
      <c r="F36" s="7"/>
      <c r="G36" s="16">
        <v>15</v>
      </c>
      <c r="H36" s="90">
        <f>_xlfn.XLOOKUP(C36,[1]M08_CI!$C:$C,[1]M08_CI!$I:$I,"")</f>
        <v>0.91304347826086951</v>
      </c>
      <c r="I36" s="7">
        <v>1</v>
      </c>
      <c r="J36" s="93">
        <f t="shared" si="0"/>
        <v>38.760869565217391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1:AJ36"/>
  <sheetViews>
    <sheetView zoomScale="173" workbookViewId="0">
      <pane ySplit="1" topLeftCell="A8" activePane="bottomLeft" state="frozen"/>
      <selection pane="bottomLeft" activeCell="G17" sqref="G17"/>
    </sheetView>
  </sheetViews>
  <sheetFormatPr baseColWidth="10" defaultColWidth="8.83203125" defaultRowHeight="15" x14ac:dyDescent="0.2"/>
  <cols>
    <col min="1" max="1" width="2.1640625" style="4" bestFit="1" customWidth="1"/>
    <col min="2" max="2" width="31.83203125" style="15" bestFit="1" customWidth="1"/>
    <col min="3" max="3" width="11.5" style="4" hidden="1" customWidth="1"/>
    <col min="4" max="4" width="7.1640625" style="82" bestFit="1" customWidth="1"/>
    <col min="5" max="16384" width="8.83203125" style="4"/>
  </cols>
  <sheetData>
    <row r="1" spans="1:36" ht="32" x14ac:dyDescent="0.2">
      <c r="A1" s="9" t="s">
        <v>2</v>
      </c>
      <c r="B1" s="12" t="s">
        <v>3</v>
      </c>
      <c r="C1" s="9" t="s">
        <v>4</v>
      </c>
      <c r="D1" s="18" t="s">
        <v>776</v>
      </c>
      <c r="E1" s="9" t="s">
        <v>777</v>
      </c>
      <c r="F1" s="9" t="s">
        <v>778</v>
      </c>
      <c r="G1" s="9" t="s">
        <v>757</v>
      </c>
      <c r="H1" s="9">
        <v>2</v>
      </c>
      <c r="I1" s="9">
        <v>3</v>
      </c>
      <c r="J1" s="9">
        <v>4</v>
      </c>
      <c r="K1" s="9">
        <v>7</v>
      </c>
      <c r="L1" s="9">
        <v>8</v>
      </c>
      <c r="M1" s="9">
        <v>9</v>
      </c>
      <c r="N1" s="9">
        <v>10</v>
      </c>
      <c r="O1" s="9">
        <v>11</v>
      </c>
      <c r="P1" s="9">
        <v>14</v>
      </c>
      <c r="Q1" s="9">
        <v>15</v>
      </c>
      <c r="R1" s="9">
        <v>16</v>
      </c>
      <c r="S1" s="9">
        <v>17</v>
      </c>
      <c r="T1" s="9">
        <v>18</v>
      </c>
      <c r="U1" s="9">
        <v>21</v>
      </c>
      <c r="V1" s="9">
        <v>22</v>
      </c>
      <c r="W1" s="9">
        <v>23</v>
      </c>
      <c r="X1" s="9">
        <v>24</v>
      </c>
      <c r="Y1" s="9">
        <v>25</v>
      </c>
      <c r="Z1" s="9">
        <v>28</v>
      </c>
      <c r="AA1" s="9">
        <v>29</v>
      </c>
      <c r="AB1" s="9">
        <v>30</v>
      </c>
    </row>
    <row r="2" spans="1:36" s="70" customFormat="1" x14ac:dyDescent="0.2">
      <c r="A2" s="61">
        <v>1</v>
      </c>
      <c r="B2" s="62" t="s">
        <v>629</v>
      </c>
      <c r="C2" s="61" t="s">
        <v>151</v>
      </c>
      <c r="D2" s="72"/>
      <c r="E2" s="16"/>
      <c r="F2" s="67"/>
      <c r="G2" s="93">
        <f>D2*0.7+E2*20+F2*10</f>
        <v>0</v>
      </c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</row>
    <row r="3" spans="1:36" x14ac:dyDescent="0.2">
      <c r="A3" s="7">
        <v>1</v>
      </c>
      <c r="B3" s="14" t="s">
        <v>628</v>
      </c>
      <c r="C3" s="7" t="s">
        <v>161</v>
      </c>
      <c r="D3" s="86">
        <v>20</v>
      </c>
      <c r="E3" s="16">
        <f>_xlfn.XLOOKUP(B3,[1]M13_CI!$C:$C,[1]M13_CI!$J:$J,"")</f>
        <v>1</v>
      </c>
      <c r="F3" s="11">
        <v>1</v>
      </c>
      <c r="G3" s="93">
        <f t="shared" ref="G3:G35" si="0">D3*0.7+E3*20+F3*10</f>
        <v>44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s="70" customFormat="1" x14ac:dyDescent="0.2">
      <c r="A4" s="61">
        <v>1</v>
      </c>
      <c r="B4" s="62" t="s">
        <v>627</v>
      </c>
      <c r="C4" s="61" t="s">
        <v>154</v>
      </c>
      <c r="D4" s="72"/>
      <c r="E4" s="16"/>
      <c r="F4" s="67"/>
      <c r="G4" s="93">
        <f t="shared" si="0"/>
        <v>0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</row>
    <row r="5" spans="1:36" x14ac:dyDescent="0.2">
      <c r="A5" s="7" t="s">
        <v>192</v>
      </c>
      <c r="B5" s="14" t="s">
        <v>626</v>
      </c>
      <c r="C5" s="7" t="s">
        <v>161</v>
      </c>
      <c r="D5" s="86">
        <v>70</v>
      </c>
      <c r="E5" s="16">
        <f>_xlfn.XLOOKUP(B5,[1]M13_CI!$C:$C,[1]M13_CI!$J:$J,"")</f>
        <v>0.93333333333333335</v>
      </c>
      <c r="F5" s="11">
        <v>1</v>
      </c>
      <c r="G5" s="93">
        <f t="shared" si="0"/>
        <v>77.666666666666671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36" x14ac:dyDescent="0.2">
      <c r="A6" s="5" t="s">
        <v>192</v>
      </c>
      <c r="B6" s="13" t="s">
        <v>625</v>
      </c>
      <c r="C6" s="5" t="s">
        <v>624</v>
      </c>
      <c r="D6" s="86">
        <v>15</v>
      </c>
      <c r="E6" s="16">
        <f>_xlfn.XLOOKUP(B6,[1]M13_CI!$C:$C,[1]M13_CI!$J:$J,"")</f>
        <v>1</v>
      </c>
      <c r="F6" s="10">
        <v>1</v>
      </c>
      <c r="G6" s="93">
        <f t="shared" si="0"/>
        <v>40.5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x14ac:dyDescent="0.2">
      <c r="A7" s="7">
        <v>1</v>
      </c>
      <c r="B7" s="14" t="s">
        <v>623</v>
      </c>
      <c r="C7" s="7" t="s">
        <v>161</v>
      </c>
      <c r="D7" s="86">
        <v>20</v>
      </c>
      <c r="E7" s="16">
        <f>_xlfn.XLOOKUP(B7,[1]M13_CI!$C:$C,[1]M13_CI!$J:$J,"")</f>
        <v>0.93333333333333335</v>
      </c>
      <c r="F7" s="11">
        <v>1</v>
      </c>
      <c r="G7" s="93">
        <f t="shared" si="0"/>
        <v>42.666666666666671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spans="1:36" x14ac:dyDescent="0.2">
      <c r="A8" s="5">
        <v>1</v>
      </c>
      <c r="B8" s="13" t="s">
        <v>622</v>
      </c>
      <c r="C8" s="5" t="s">
        <v>9</v>
      </c>
      <c r="D8" s="86">
        <v>100</v>
      </c>
      <c r="E8" s="16">
        <f>_xlfn.XLOOKUP(B8,[1]M13_CI!$C:$C,[1]M13_CI!$J:$J,"")</f>
        <v>1</v>
      </c>
      <c r="F8" s="10">
        <v>1</v>
      </c>
      <c r="G8" s="93">
        <f t="shared" si="0"/>
        <v>100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x14ac:dyDescent="0.2">
      <c r="A9" s="7" t="s">
        <v>192</v>
      </c>
      <c r="B9" s="14" t="s">
        <v>620</v>
      </c>
      <c r="C9" s="7" t="s">
        <v>72</v>
      </c>
      <c r="D9" s="86">
        <v>92.5</v>
      </c>
      <c r="E9" s="16">
        <f>_xlfn.XLOOKUP(B9,[1]M13_CI!$C:$C,[1]M13_CI!$J:$J,"")</f>
        <v>0.8666666666666667</v>
      </c>
      <c r="F9" s="11">
        <v>1</v>
      </c>
      <c r="G9" s="93">
        <f t="shared" si="0"/>
        <v>92.083333333333343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">
      <c r="A10" s="5">
        <v>1</v>
      </c>
      <c r="B10" s="13" t="s">
        <v>619</v>
      </c>
      <c r="C10" s="5" t="s">
        <v>9</v>
      </c>
      <c r="D10" s="86">
        <v>83.75</v>
      </c>
      <c r="E10" s="16">
        <f>_xlfn.XLOOKUP(B10,[1]M13_CI!$C:$C,[1]M13_CI!$J:$J,"")</f>
        <v>1</v>
      </c>
      <c r="F10" s="10">
        <v>1</v>
      </c>
      <c r="G10" s="93">
        <f t="shared" si="0"/>
        <v>88.625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x14ac:dyDescent="0.2">
      <c r="A11" s="7">
        <v>1</v>
      </c>
      <c r="B11" s="14" t="s">
        <v>618</v>
      </c>
      <c r="C11" s="7" t="s">
        <v>188</v>
      </c>
      <c r="D11" s="86">
        <v>60</v>
      </c>
      <c r="E11" s="16">
        <f>_xlfn.XLOOKUP(B11,[1]M13_CI!$C:$C,[1]M13_CI!$J:$J,"")</f>
        <v>0.8666666666666667</v>
      </c>
      <c r="F11" s="7">
        <v>1</v>
      </c>
      <c r="G11" s="93">
        <f t="shared" si="0"/>
        <v>69.333333333333343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s="70" customFormat="1" x14ac:dyDescent="0.2">
      <c r="A12" s="61" t="s">
        <v>192</v>
      </c>
      <c r="B12" s="62" t="s">
        <v>617</v>
      </c>
      <c r="C12" s="61" t="s">
        <v>72</v>
      </c>
      <c r="D12" s="72"/>
      <c r="E12" s="16"/>
      <c r="F12" s="67"/>
      <c r="G12" s="93">
        <f t="shared" si="0"/>
        <v>0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</row>
    <row r="13" spans="1:36" x14ac:dyDescent="0.2">
      <c r="A13" s="7">
        <v>1</v>
      </c>
      <c r="B13" s="14" t="s">
        <v>616</v>
      </c>
      <c r="C13" s="7" t="s">
        <v>9</v>
      </c>
      <c r="D13" s="86">
        <v>100</v>
      </c>
      <c r="E13" s="16">
        <f>_xlfn.XLOOKUP(B13,[1]M13_CI!$C:$C,[1]M13_CI!$J:$J,"")</f>
        <v>1</v>
      </c>
      <c r="F13" s="11">
        <v>1</v>
      </c>
      <c r="G13" s="93">
        <f t="shared" si="0"/>
        <v>100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">
      <c r="A14" s="5">
        <v>1</v>
      </c>
      <c r="B14" s="13" t="s">
        <v>615</v>
      </c>
      <c r="C14" s="5" t="s">
        <v>72</v>
      </c>
      <c r="D14" s="86">
        <v>20</v>
      </c>
      <c r="E14" s="16">
        <f>_xlfn.XLOOKUP(B14,[1]M13_CI!$C:$C,[1]M13_CI!$J:$J,"")</f>
        <v>1</v>
      </c>
      <c r="F14" s="10">
        <v>1</v>
      </c>
      <c r="G14" s="93">
        <f t="shared" si="0"/>
        <v>44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s="70" customFormat="1" x14ac:dyDescent="0.2">
      <c r="A15" s="61">
        <v>1</v>
      </c>
      <c r="B15" s="62" t="s">
        <v>614</v>
      </c>
      <c r="C15" s="61" t="s">
        <v>72</v>
      </c>
      <c r="D15" s="72"/>
      <c r="E15" s="16"/>
      <c r="F15" s="67"/>
      <c r="G15" s="93">
        <f t="shared" si="0"/>
        <v>0</v>
      </c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</row>
    <row r="16" spans="1:36" x14ac:dyDescent="0.2">
      <c r="A16" s="5" t="s">
        <v>192</v>
      </c>
      <c r="B16" s="13" t="s">
        <v>613</v>
      </c>
      <c r="C16" s="5" t="s">
        <v>168</v>
      </c>
      <c r="D16" s="86">
        <v>100</v>
      </c>
      <c r="E16" s="16">
        <f>_xlfn.XLOOKUP(B16,[1]M13_CI!$C:$C,[1]M13_CI!$J:$J,"")</f>
        <v>1</v>
      </c>
      <c r="F16" s="10">
        <v>1</v>
      </c>
      <c r="G16" s="93">
        <f t="shared" si="0"/>
        <v>100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36" x14ac:dyDescent="0.2">
      <c r="A17" s="7" t="s">
        <v>192</v>
      </c>
      <c r="B17" s="14" t="s">
        <v>612</v>
      </c>
      <c r="C17" s="7" t="s">
        <v>188</v>
      </c>
      <c r="D17" s="86">
        <v>0</v>
      </c>
      <c r="E17" s="16">
        <f>_xlfn.XLOOKUP(B17,[1]M13_CI!$C:$C,[1]M13_CI!$J:$J,"")</f>
        <v>1</v>
      </c>
      <c r="F17" s="11">
        <v>1</v>
      </c>
      <c r="G17" s="93">
        <f t="shared" si="0"/>
        <v>30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x14ac:dyDescent="0.2">
      <c r="A18" s="5">
        <v>1</v>
      </c>
      <c r="B18" s="13" t="s">
        <v>611</v>
      </c>
      <c r="C18" s="5" t="s">
        <v>188</v>
      </c>
      <c r="D18" s="86">
        <v>55</v>
      </c>
      <c r="E18" s="16">
        <f>_xlfn.XLOOKUP(B18,[1]M13_CI!$C:$C,[1]M13_CI!$J:$J,"")</f>
        <v>1</v>
      </c>
      <c r="F18" s="5">
        <v>1</v>
      </c>
      <c r="G18" s="93">
        <f t="shared" si="0"/>
        <v>68.5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36" x14ac:dyDescent="0.2">
      <c r="A19" s="7" t="s">
        <v>2</v>
      </c>
      <c r="B19" s="14" t="s">
        <v>610</v>
      </c>
      <c r="C19" s="7" t="s">
        <v>72</v>
      </c>
      <c r="D19" s="86">
        <v>25</v>
      </c>
      <c r="E19" s="16">
        <f>_xlfn.XLOOKUP(B19,[1]M13_CI!$C:$C,[1]M13_CI!$J:$J,"")</f>
        <v>0.93333333333333335</v>
      </c>
      <c r="F19" s="11">
        <v>1</v>
      </c>
      <c r="G19" s="93">
        <f t="shared" si="0"/>
        <v>46.166666666666671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x14ac:dyDescent="0.2">
      <c r="A20" s="5" t="s">
        <v>2</v>
      </c>
      <c r="B20" s="13" t="s">
        <v>609</v>
      </c>
      <c r="C20" s="5" t="s">
        <v>154</v>
      </c>
      <c r="D20" s="86">
        <v>100</v>
      </c>
      <c r="E20" s="16">
        <f>_xlfn.XLOOKUP(B20,[1]M13_CI!$C:$C,[1]M13_CI!$J:$J,"")</f>
        <v>1</v>
      </c>
      <c r="F20" s="10">
        <v>1</v>
      </c>
      <c r="G20" s="93">
        <f t="shared" si="0"/>
        <v>100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</row>
    <row r="21" spans="1:36" x14ac:dyDescent="0.2">
      <c r="A21" s="7" t="s">
        <v>2</v>
      </c>
      <c r="B21" s="14" t="s">
        <v>608</v>
      </c>
      <c r="C21" s="7" t="s">
        <v>72</v>
      </c>
      <c r="D21" s="86">
        <v>65</v>
      </c>
      <c r="E21" s="16">
        <f>_xlfn.XLOOKUP(B21,[1]M13_CI!$C:$C,[1]M13_CI!$J:$J,"")</f>
        <v>1</v>
      </c>
      <c r="F21" s="11">
        <v>1</v>
      </c>
      <c r="G21" s="93">
        <f t="shared" si="0"/>
        <v>75.5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x14ac:dyDescent="0.2">
      <c r="A22" s="5">
        <v>1</v>
      </c>
      <c r="B22" s="13" t="s">
        <v>607</v>
      </c>
      <c r="C22" s="5" t="s">
        <v>161</v>
      </c>
      <c r="D22" s="86">
        <v>15</v>
      </c>
      <c r="E22" s="16">
        <f>_xlfn.XLOOKUP(B22,[1]M13_CI!$C:$C,[1]M13_CI!$J:$J,"")</f>
        <v>1</v>
      </c>
      <c r="F22" s="10">
        <v>1</v>
      </c>
      <c r="G22" s="93">
        <f t="shared" si="0"/>
        <v>40.5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</row>
    <row r="23" spans="1:36" x14ac:dyDescent="0.2">
      <c r="A23" s="7">
        <v>1</v>
      </c>
      <c r="B23" s="14" t="s">
        <v>606</v>
      </c>
      <c r="C23" s="7" t="s">
        <v>72</v>
      </c>
      <c r="D23" s="86">
        <v>100</v>
      </c>
      <c r="E23" s="16">
        <f>_xlfn.XLOOKUP(B23,[1]M13_CI!$C:$C,[1]M13_CI!$J:$J,"")</f>
        <v>1</v>
      </c>
      <c r="F23" s="11">
        <v>1</v>
      </c>
      <c r="G23" s="93">
        <f t="shared" si="0"/>
        <v>100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s="70" customFormat="1" x14ac:dyDescent="0.2">
      <c r="A24" s="61">
        <v>1</v>
      </c>
      <c r="B24" s="62" t="s">
        <v>605</v>
      </c>
      <c r="C24" s="61" t="s">
        <v>72</v>
      </c>
      <c r="D24" s="72"/>
      <c r="E24" s="16"/>
      <c r="F24" s="67"/>
      <c r="G24" s="93">
        <f t="shared" si="0"/>
        <v>0</v>
      </c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</row>
    <row r="25" spans="1:36" x14ac:dyDescent="0.2">
      <c r="A25" s="7" t="s">
        <v>2</v>
      </c>
      <c r="B25" s="14" t="s">
        <v>604</v>
      </c>
      <c r="C25" s="7" t="s">
        <v>154</v>
      </c>
      <c r="D25" s="86">
        <v>85</v>
      </c>
      <c r="E25" s="16">
        <f>_xlfn.XLOOKUP(B25,[1]M13_CI!$C:$C,[1]M13_CI!$J:$J,"")</f>
        <v>1</v>
      </c>
      <c r="F25" s="11">
        <v>1</v>
      </c>
      <c r="G25" s="93">
        <f t="shared" si="0"/>
        <v>89.5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x14ac:dyDescent="0.2">
      <c r="A26" s="5">
        <v>1</v>
      </c>
      <c r="B26" s="13" t="s">
        <v>603</v>
      </c>
      <c r="C26" s="5" t="s">
        <v>168</v>
      </c>
      <c r="D26" s="86">
        <v>95</v>
      </c>
      <c r="E26" s="16">
        <f>_xlfn.XLOOKUP(B26,[1]M13_CI!$C:$C,[1]M13_CI!$J:$J,"")</f>
        <v>0.8666666666666667</v>
      </c>
      <c r="F26" s="10">
        <v>1</v>
      </c>
      <c r="G26" s="93">
        <f t="shared" si="0"/>
        <v>93.833333333333343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</row>
    <row r="27" spans="1:36" s="70" customFormat="1" x14ac:dyDescent="0.2">
      <c r="A27" s="61">
        <v>1</v>
      </c>
      <c r="B27" s="62" t="s">
        <v>602</v>
      </c>
      <c r="C27" s="61" t="s">
        <v>161</v>
      </c>
      <c r="D27" s="72"/>
      <c r="E27" s="16"/>
      <c r="F27" s="67"/>
      <c r="G27" s="93">
        <f t="shared" si="0"/>
        <v>0</v>
      </c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</row>
    <row r="28" spans="1:36" x14ac:dyDescent="0.2">
      <c r="A28" s="5">
        <v>1</v>
      </c>
      <c r="B28" s="13" t="s">
        <v>601</v>
      </c>
      <c r="C28" s="5" t="s">
        <v>72</v>
      </c>
      <c r="D28" s="86">
        <v>43.5</v>
      </c>
      <c r="E28" s="16">
        <f>_xlfn.XLOOKUP(B28,[1]M13_CI!$C:$C,[1]M13_CI!$J:$J,"")</f>
        <v>0.93333333333333335</v>
      </c>
      <c r="F28" s="5">
        <v>1</v>
      </c>
      <c r="G28" s="93">
        <f t="shared" si="0"/>
        <v>59.116666666666667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  <row r="29" spans="1:36" x14ac:dyDescent="0.2">
      <c r="A29" s="7" t="s">
        <v>2</v>
      </c>
      <c r="B29" s="14" t="s">
        <v>600</v>
      </c>
      <c r="C29" s="7" t="s">
        <v>72</v>
      </c>
      <c r="D29" s="86">
        <v>10</v>
      </c>
      <c r="E29" s="16">
        <f>_xlfn.XLOOKUP(B29,[1]M13_CI!$C:$C,[1]M13_CI!$J:$J,"")</f>
        <v>1</v>
      </c>
      <c r="F29" s="11">
        <v>1</v>
      </c>
      <c r="G29" s="93">
        <f t="shared" si="0"/>
        <v>37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x14ac:dyDescent="0.2">
      <c r="A30" s="5">
        <v>1</v>
      </c>
      <c r="B30" s="13" t="s">
        <v>599</v>
      </c>
      <c r="C30" s="5" t="s">
        <v>168</v>
      </c>
      <c r="D30" s="86">
        <v>15</v>
      </c>
      <c r="E30" s="16">
        <f>_xlfn.XLOOKUP(B30,[1]M13_CI!$C:$C,[1]M13_CI!$J:$J,"")</f>
        <v>0.93333333333333335</v>
      </c>
      <c r="F30" s="10">
        <v>1</v>
      </c>
      <c r="G30" s="93">
        <f t="shared" si="0"/>
        <v>39.166666666666671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</row>
    <row r="31" spans="1:36" s="70" customFormat="1" x14ac:dyDescent="0.2">
      <c r="A31" s="61">
        <v>1</v>
      </c>
      <c r="B31" s="62" t="s">
        <v>598</v>
      </c>
      <c r="C31" s="61" t="s">
        <v>72</v>
      </c>
      <c r="D31" s="72"/>
      <c r="E31" s="16"/>
      <c r="F31" s="61"/>
      <c r="G31" s="93">
        <f t="shared" si="0"/>
        <v>0</v>
      </c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</row>
    <row r="32" spans="1:36" x14ac:dyDescent="0.2">
      <c r="A32" s="5">
        <v>1</v>
      </c>
      <c r="B32" s="13" t="s">
        <v>597</v>
      </c>
      <c r="C32" s="5" t="s">
        <v>161</v>
      </c>
      <c r="D32" s="86">
        <v>10</v>
      </c>
      <c r="E32" s="16">
        <f>_xlfn.XLOOKUP(B32,[1]M13_CI!$C:$C,[1]M13_CI!$J:$J,"")</f>
        <v>6.6666666666666666E-2</v>
      </c>
      <c r="F32" s="10">
        <v>1</v>
      </c>
      <c r="G32" s="93">
        <f t="shared" si="0"/>
        <v>18.333333333333336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</row>
    <row r="33" spans="1:36" s="70" customFormat="1" x14ac:dyDescent="0.2">
      <c r="A33" s="61" t="s">
        <v>192</v>
      </c>
      <c r="B33" s="62" t="s">
        <v>596</v>
      </c>
      <c r="C33" s="61" t="s">
        <v>9</v>
      </c>
      <c r="D33" s="72"/>
      <c r="E33" s="16"/>
      <c r="F33" s="61"/>
      <c r="G33" s="93">
        <f t="shared" si="0"/>
        <v>0</v>
      </c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</row>
    <row r="34" spans="1:36" x14ac:dyDescent="0.2">
      <c r="A34" s="5" t="s">
        <v>2</v>
      </c>
      <c r="B34" s="13" t="s">
        <v>595</v>
      </c>
      <c r="C34" s="5" t="s">
        <v>161</v>
      </c>
      <c r="D34" s="86">
        <v>35</v>
      </c>
      <c r="E34" s="16">
        <f>_xlfn.XLOOKUP(B34,[1]M13_CI!$C:$C,[1]M13_CI!$J:$J,"")</f>
        <v>0.66666666666666663</v>
      </c>
      <c r="F34" s="5">
        <v>1</v>
      </c>
      <c r="G34" s="93">
        <f t="shared" si="0"/>
        <v>47.833333333333329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</row>
    <row r="35" spans="1:36" x14ac:dyDescent="0.2">
      <c r="A35" s="7">
        <v>1</v>
      </c>
      <c r="B35" s="14" t="s">
        <v>594</v>
      </c>
      <c r="C35" s="7" t="s">
        <v>9</v>
      </c>
      <c r="D35" s="86">
        <v>0</v>
      </c>
      <c r="E35" s="16">
        <f>_xlfn.XLOOKUP(B35,[1]M13_CI!$C:$C,[1]M13_CI!$J:$J,"")</f>
        <v>0.7142857142857143</v>
      </c>
      <c r="F35" s="7">
        <v>1</v>
      </c>
      <c r="G35" s="93">
        <f t="shared" si="0"/>
        <v>24.285714285714285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x14ac:dyDescent="0.2">
      <c r="D36" s="82">
        <f>AVERAGE(D2:D35)</f>
        <v>51.33653846153846</v>
      </c>
      <c r="F36" s="4">
        <f>SUM(F2:F35)</f>
        <v>26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1:AN33"/>
  <sheetViews>
    <sheetView tabSelected="1" topLeftCell="C1" zoomScale="175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11.1640625" style="4" hidden="1" customWidth="1"/>
    <col min="2" max="2" width="2.1640625" style="4" hidden="1" customWidth="1"/>
    <col min="3" max="3" width="34.83203125" style="15" bestFit="1" customWidth="1"/>
    <col min="4" max="4" width="8.33203125" style="4" hidden="1" customWidth="1"/>
    <col min="5" max="6" width="0" style="4" hidden="1" customWidth="1"/>
    <col min="7" max="16384" width="8.83203125" style="4"/>
  </cols>
  <sheetData>
    <row r="1" spans="1:40" ht="32" x14ac:dyDescent="0.2">
      <c r="A1" s="9" t="s">
        <v>1</v>
      </c>
      <c r="B1" s="9" t="s">
        <v>2</v>
      </c>
      <c r="C1" s="12" t="s">
        <v>3</v>
      </c>
      <c r="D1" s="9" t="s">
        <v>4</v>
      </c>
      <c r="E1" s="9" t="s">
        <v>734</v>
      </c>
      <c r="F1" s="9" t="s">
        <v>739</v>
      </c>
      <c r="G1" s="18" t="s">
        <v>776</v>
      </c>
      <c r="H1" s="9" t="s">
        <v>777</v>
      </c>
      <c r="I1" s="9" t="s">
        <v>778</v>
      </c>
      <c r="J1" s="9" t="s">
        <v>757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spans="1:40" x14ac:dyDescent="0.2">
      <c r="A2" s="5" t="s">
        <v>733</v>
      </c>
      <c r="B2" s="5">
        <v>1</v>
      </c>
      <c r="C2" s="13" t="s">
        <v>732</v>
      </c>
      <c r="D2" s="5" t="s">
        <v>168</v>
      </c>
      <c r="E2" s="5"/>
      <c r="F2" s="5"/>
      <c r="G2" s="16">
        <v>95.5</v>
      </c>
      <c r="H2" s="16">
        <f>_xlfn.XLOOKUP(C2,[1]M09_AL!$C:$C,[1]M09_AL!$H:$H,"")</f>
        <v>0.68181818181818177</v>
      </c>
      <c r="I2" s="16">
        <v>1</v>
      </c>
      <c r="J2" s="93">
        <f>G2*0.7+H2*20+I2*10</f>
        <v>90.486363636363635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s="70" customFormat="1" x14ac:dyDescent="0.2">
      <c r="A3" s="61" t="s">
        <v>731</v>
      </c>
      <c r="B3" s="61">
        <v>1</v>
      </c>
      <c r="C3" s="62" t="s">
        <v>730</v>
      </c>
      <c r="D3" s="61" t="s">
        <v>171</v>
      </c>
      <c r="E3" s="61"/>
      <c r="F3" s="61"/>
      <c r="G3" s="61"/>
      <c r="H3" s="16"/>
      <c r="I3" s="16"/>
      <c r="J3" s="93">
        <f t="shared" ref="J3:J32" si="0">G3*0.7+H3*20+I3*10</f>
        <v>0</v>
      </c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</row>
    <row r="4" spans="1:40" x14ac:dyDescent="0.2">
      <c r="A4" s="5" t="s">
        <v>729</v>
      </c>
      <c r="B4" s="5">
        <v>1</v>
      </c>
      <c r="C4" s="13" t="s">
        <v>728</v>
      </c>
      <c r="D4" s="5" t="s">
        <v>9</v>
      </c>
      <c r="E4" s="5">
        <v>1</v>
      </c>
      <c r="F4" s="5">
        <v>1</v>
      </c>
      <c r="G4" s="16">
        <v>50</v>
      </c>
      <c r="H4" s="16">
        <f>_xlfn.XLOOKUP(C4,[1]M09_AL!$C:$C,[1]M09_AL!$H:$H,"")</f>
        <v>0.56521739130434778</v>
      </c>
      <c r="I4" s="16">
        <v>1</v>
      </c>
      <c r="J4" s="93">
        <f t="shared" si="0"/>
        <v>56.304347826086953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7" t="s">
        <v>727</v>
      </c>
      <c r="B5" s="16" t="s">
        <v>2</v>
      </c>
      <c r="C5" s="14" t="s">
        <v>726</v>
      </c>
      <c r="D5" s="7" t="s">
        <v>168</v>
      </c>
      <c r="E5" s="7">
        <v>1</v>
      </c>
      <c r="F5" s="7">
        <v>1</v>
      </c>
      <c r="G5" s="16">
        <v>83</v>
      </c>
      <c r="H5" s="16">
        <f>_xlfn.XLOOKUP(C5,[1]M09_AL!$C:$C,[1]M09_AL!$H:$H,"")</f>
        <v>0.72727272727272729</v>
      </c>
      <c r="I5" s="16">
        <v>1</v>
      </c>
      <c r="J5" s="93">
        <f t="shared" si="0"/>
        <v>82.645454545454541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x14ac:dyDescent="0.2">
      <c r="A6" s="5" t="s">
        <v>621</v>
      </c>
      <c r="B6" s="5">
        <v>1</v>
      </c>
      <c r="C6" s="13" t="s">
        <v>620</v>
      </c>
      <c r="D6" s="5" t="s">
        <v>72</v>
      </c>
      <c r="E6" s="5"/>
      <c r="F6" s="5">
        <v>1</v>
      </c>
      <c r="G6" s="16">
        <v>100</v>
      </c>
      <c r="H6" s="16">
        <f>_xlfn.XLOOKUP(C6,[1]M09_AL!$C:$C,[1]M09_AL!$H:$H,"")</f>
        <v>0.91304347826086951</v>
      </c>
      <c r="I6" s="16">
        <v>1</v>
      </c>
      <c r="J6" s="93">
        <f t="shared" si="0"/>
        <v>98.260869565217391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s="70" customFormat="1" x14ac:dyDescent="0.2">
      <c r="A7" s="61" t="s">
        <v>725</v>
      </c>
      <c r="B7" s="61">
        <v>1</v>
      </c>
      <c r="C7" s="62" t="s">
        <v>724</v>
      </c>
      <c r="D7" s="61" t="s">
        <v>72</v>
      </c>
      <c r="E7" s="61"/>
      <c r="F7" s="61"/>
      <c r="G7" s="61"/>
      <c r="H7" s="16"/>
      <c r="I7" s="16"/>
      <c r="J7" s="93">
        <f t="shared" si="0"/>
        <v>0</v>
      </c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</row>
    <row r="8" spans="1:40" x14ac:dyDescent="0.2">
      <c r="A8" s="5" t="s">
        <v>723</v>
      </c>
      <c r="B8" s="5">
        <v>1</v>
      </c>
      <c r="C8" s="13" t="s">
        <v>722</v>
      </c>
      <c r="D8" s="5" t="s">
        <v>171</v>
      </c>
      <c r="E8" s="5">
        <v>1</v>
      </c>
      <c r="F8" s="5">
        <v>1</v>
      </c>
      <c r="G8" s="16">
        <v>100</v>
      </c>
      <c r="H8" s="16">
        <f>_xlfn.XLOOKUP(C8,[1]M09_AL!$C:$C,[1]M09_AL!$H:$H,"")</f>
        <v>0.73913043478260865</v>
      </c>
      <c r="I8" s="16">
        <v>1</v>
      </c>
      <c r="J8" s="93">
        <f t="shared" si="0"/>
        <v>94.782608695652172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s="70" customFormat="1" x14ac:dyDescent="0.2">
      <c r="A9" s="61" t="s">
        <v>721</v>
      </c>
      <c r="B9" s="61">
        <v>1</v>
      </c>
      <c r="C9" s="62" t="s">
        <v>720</v>
      </c>
      <c r="D9" s="61" t="s">
        <v>154</v>
      </c>
      <c r="E9" s="61">
        <v>1</v>
      </c>
      <c r="F9" s="61"/>
      <c r="G9" s="61"/>
      <c r="H9" s="16"/>
      <c r="I9" s="16"/>
      <c r="J9" s="93">
        <f t="shared" si="0"/>
        <v>0</v>
      </c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</row>
    <row r="10" spans="1:40" x14ac:dyDescent="0.2">
      <c r="A10" s="5" t="s">
        <v>719</v>
      </c>
      <c r="B10" s="17" t="s">
        <v>192</v>
      </c>
      <c r="C10" s="13" t="s">
        <v>718</v>
      </c>
      <c r="D10" s="5" t="s">
        <v>9</v>
      </c>
      <c r="E10" s="5"/>
      <c r="F10" s="5"/>
      <c r="G10" s="16">
        <v>20</v>
      </c>
      <c r="H10" s="16">
        <f>_xlfn.XLOOKUP(C10,[1]M09_AL!$C:$C,[1]M09_AL!$H:$H,"")</f>
        <v>0.69565217391304346</v>
      </c>
      <c r="I10" s="16">
        <v>1</v>
      </c>
      <c r="J10" s="93">
        <f t="shared" si="0"/>
        <v>37.913043478260867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7" t="s">
        <v>717</v>
      </c>
      <c r="B11" s="17" t="s">
        <v>192</v>
      </c>
      <c r="C11" s="14" t="s">
        <v>716</v>
      </c>
      <c r="D11" s="7" t="s">
        <v>624</v>
      </c>
      <c r="E11" s="7">
        <v>1</v>
      </c>
      <c r="F11" s="7"/>
      <c r="G11" s="16">
        <v>100</v>
      </c>
      <c r="H11" s="16">
        <f>_xlfn.XLOOKUP(C11,[1]M09_AL!$C:$C,[1]M09_AL!$H:$H,"")</f>
        <v>0.69565217391304346</v>
      </c>
      <c r="I11" s="16">
        <v>1</v>
      </c>
      <c r="J11" s="93">
        <f t="shared" si="0"/>
        <v>93.913043478260875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x14ac:dyDescent="0.2">
      <c r="A12" s="5" t="s">
        <v>715</v>
      </c>
      <c r="B12" s="5">
        <v>1</v>
      </c>
      <c r="C12" s="13" t="s">
        <v>714</v>
      </c>
      <c r="D12" s="5" t="s">
        <v>72</v>
      </c>
      <c r="E12" s="5"/>
      <c r="F12" s="5"/>
      <c r="G12" s="16">
        <v>55</v>
      </c>
      <c r="H12" s="16">
        <f>_xlfn.XLOOKUP(C12,[1]M09_AL!$C:$C,[1]M09_AL!$H:$H,"")</f>
        <v>0.22727272727272727</v>
      </c>
      <c r="I12" s="16">
        <v>1</v>
      </c>
      <c r="J12" s="93">
        <f t="shared" si="0"/>
        <v>53.045454545454547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s="70" customFormat="1" x14ac:dyDescent="0.2">
      <c r="A13" s="61" t="s">
        <v>713</v>
      </c>
      <c r="B13" s="61">
        <v>1</v>
      </c>
      <c r="C13" s="62" t="s">
        <v>712</v>
      </c>
      <c r="D13" s="61" t="s">
        <v>72</v>
      </c>
      <c r="E13" s="61"/>
      <c r="F13" s="61"/>
      <c r="G13" s="61"/>
      <c r="H13" s="16"/>
      <c r="I13" s="16"/>
      <c r="J13" s="93">
        <f t="shared" si="0"/>
        <v>0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</row>
    <row r="14" spans="1:40" s="70" customFormat="1" x14ac:dyDescent="0.2">
      <c r="A14" s="61" t="s">
        <v>711</v>
      </c>
      <c r="B14" s="61">
        <v>1</v>
      </c>
      <c r="C14" s="62" t="s">
        <v>710</v>
      </c>
      <c r="D14" s="61" t="s">
        <v>168</v>
      </c>
      <c r="E14" s="61"/>
      <c r="F14" s="61"/>
      <c r="G14" s="61"/>
      <c r="H14" s="16">
        <f>_xlfn.XLOOKUP(C14,[1]M09_AL!$C:$C,[1]M09_AL!$H:$H,"")</f>
        <v>0.2608695652173913</v>
      </c>
      <c r="I14" s="16">
        <v>1</v>
      </c>
      <c r="J14" s="93">
        <f t="shared" si="0"/>
        <v>15.217391304347826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</row>
    <row r="15" spans="1:40" s="70" customFormat="1" x14ac:dyDescent="0.2">
      <c r="A15" s="61" t="s">
        <v>709</v>
      </c>
      <c r="B15" s="61">
        <v>1</v>
      </c>
      <c r="C15" s="62" t="s">
        <v>708</v>
      </c>
      <c r="D15" s="61" t="s">
        <v>154</v>
      </c>
      <c r="E15" s="61"/>
      <c r="F15" s="61"/>
      <c r="G15" s="61"/>
      <c r="H15" s="16"/>
      <c r="I15" s="16"/>
      <c r="J15" s="93">
        <f t="shared" si="0"/>
        <v>0</v>
      </c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</row>
    <row r="16" spans="1:40" x14ac:dyDescent="0.2">
      <c r="A16" s="5" t="s">
        <v>707</v>
      </c>
      <c r="B16" s="5">
        <v>1</v>
      </c>
      <c r="C16" s="13" t="s">
        <v>706</v>
      </c>
      <c r="D16" s="5" t="s">
        <v>72</v>
      </c>
      <c r="E16" s="5">
        <v>1</v>
      </c>
      <c r="F16" s="5">
        <v>1</v>
      </c>
      <c r="G16" s="16">
        <v>25</v>
      </c>
      <c r="H16" s="16">
        <f>_xlfn.XLOOKUP(C16,[1]M09_AL!$C:$C,[1]M09_AL!$H:$H,"")</f>
        <v>0.78260869565217395</v>
      </c>
      <c r="I16" s="16">
        <v>1</v>
      </c>
      <c r="J16" s="93">
        <f t="shared" si="0"/>
        <v>43.152173913043477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7" t="s">
        <v>705</v>
      </c>
      <c r="B17" s="17" t="s">
        <v>192</v>
      </c>
      <c r="C17" s="14" t="s">
        <v>704</v>
      </c>
      <c r="D17" s="7" t="s">
        <v>9</v>
      </c>
      <c r="E17" s="7"/>
      <c r="F17" s="7"/>
      <c r="G17" s="16">
        <v>100</v>
      </c>
      <c r="H17" s="16">
        <f>_xlfn.XLOOKUP(C17,[1]M09_AL!$C:$C,[1]M09_AL!$H:$H,"")</f>
        <v>0.2608695652173913</v>
      </c>
      <c r="I17" s="16">
        <v>1</v>
      </c>
      <c r="J17" s="93">
        <f t="shared" si="0"/>
        <v>85.217391304347828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x14ac:dyDescent="0.2">
      <c r="A18" s="5" t="s">
        <v>703</v>
      </c>
      <c r="B18" s="5">
        <v>1</v>
      </c>
      <c r="C18" s="13" t="s">
        <v>702</v>
      </c>
      <c r="D18" s="5" t="s">
        <v>154</v>
      </c>
      <c r="E18" s="5">
        <v>1</v>
      </c>
      <c r="F18" s="5">
        <v>1</v>
      </c>
      <c r="G18" s="16">
        <v>60</v>
      </c>
      <c r="H18" s="16">
        <f>_xlfn.XLOOKUP(C18,[1]M09_AL!$C:$C,[1]M09_AL!$H:$H,"")</f>
        <v>0.78260869565217395</v>
      </c>
      <c r="I18" s="16">
        <v>1</v>
      </c>
      <c r="J18" s="93">
        <f t="shared" si="0"/>
        <v>67.65217391304347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7" t="s">
        <v>701</v>
      </c>
      <c r="B19" s="16" t="s">
        <v>2</v>
      </c>
      <c r="C19" s="14" t="s">
        <v>700</v>
      </c>
      <c r="D19" s="7" t="s">
        <v>154</v>
      </c>
      <c r="E19" s="7">
        <v>1</v>
      </c>
      <c r="F19" s="7">
        <v>1</v>
      </c>
      <c r="G19" s="16">
        <v>30</v>
      </c>
      <c r="H19" s="16">
        <f>_xlfn.XLOOKUP(C19,[1]M09_AL!$C:$C,[1]M09_AL!$H:$H,"")</f>
        <v>0.82608695652173914</v>
      </c>
      <c r="I19" s="16">
        <v>1</v>
      </c>
      <c r="J19" s="93">
        <f t="shared" si="0"/>
        <v>47.521739130434781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x14ac:dyDescent="0.2">
      <c r="A20" s="5" t="s">
        <v>170</v>
      </c>
      <c r="B20" s="5">
        <v>1</v>
      </c>
      <c r="C20" s="13" t="s">
        <v>169</v>
      </c>
      <c r="D20" s="5" t="s">
        <v>168</v>
      </c>
      <c r="E20" s="5">
        <v>1</v>
      </c>
      <c r="F20" s="5">
        <v>1</v>
      </c>
      <c r="G20" s="16">
        <v>30</v>
      </c>
      <c r="H20" s="16">
        <f>_xlfn.XLOOKUP(C20,[1]M09_AL!$C:$C,[1]M09_AL!$H:$H,"")</f>
        <v>0.78260869565217395</v>
      </c>
      <c r="I20" s="16">
        <v>1</v>
      </c>
      <c r="J20" s="93">
        <f t="shared" si="0"/>
        <v>46.652173913043477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7" t="s">
        <v>699</v>
      </c>
      <c r="B21" s="7">
        <v>1</v>
      </c>
      <c r="C21" s="14" t="s">
        <v>698</v>
      </c>
      <c r="D21" s="7" t="s">
        <v>171</v>
      </c>
      <c r="E21" s="7">
        <v>1</v>
      </c>
      <c r="F21" s="7">
        <v>1</v>
      </c>
      <c r="G21" s="16">
        <v>100</v>
      </c>
      <c r="H21" s="16">
        <f>_xlfn.XLOOKUP(C21,[1]M09_AL!$C:$C,[1]M09_AL!$H:$H,"")</f>
        <v>0.78260869565217395</v>
      </c>
      <c r="I21" s="16">
        <v>1</v>
      </c>
      <c r="J21" s="93">
        <f t="shared" si="0"/>
        <v>95.652173913043484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s="70" customFormat="1" x14ac:dyDescent="0.2">
      <c r="A22" s="61" t="s">
        <v>697</v>
      </c>
      <c r="B22" s="61">
        <v>1</v>
      </c>
      <c r="C22" s="62" t="s">
        <v>696</v>
      </c>
      <c r="D22" s="61" t="s">
        <v>171</v>
      </c>
      <c r="E22" s="61">
        <v>1</v>
      </c>
      <c r="F22" s="61">
        <v>1</v>
      </c>
      <c r="G22" s="61"/>
      <c r="H22" s="16"/>
      <c r="I22" s="16"/>
      <c r="J22" s="93">
        <f t="shared" si="0"/>
        <v>0</v>
      </c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</row>
    <row r="23" spans="1:40" x14ac:dyDescent="0.2">
      <c r="A23" s="7" t="s">
        <v>695</v>
      </c>
      <c r="B23" s="16" t="s">
        <v>2</v>
      </c>
      <c r="C23" s="14" t="s">
        <v>694</v>
      </c>
      <c r="D23" s="7" t="s">
        <v>154</v>
      </c>
      <c r="E23" s="7">
        <v>1</v>
      </c>
      <c r="F23" s="7">
        <v>1</v>
      </c>
      <c r="G23" s="16">
        <v>50</v>
      </c>
      <c r="H23" s="16">
        <f>_xlfn.XLOOKUP(C23,[1]M09_AL!$C:$C,[1]M09_AL!$H:$H,"")</f>
        <v>0.82608695652173914</v>
      </c>
      <c r="I23" s="16">
        <v>1</v>
      </c>
      <c r="J23" s="93">
        <f t="shared" si="0"/>
        <v>61.521739130434781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x14ac:dyDescent="0.2">
      <c r="A24" s="5" t="s">
        <v>693</v>
      </c>
      <c r="B24" s="17" t="s">
        <v>192</v>
      </c>
      <c r="C24" s="13" t="s">
        <v>692</v>
      </c>
      <c r="D24" s="5" t="s">
        <v>72</v>
      </c>
      <c r="E24" s="5">
        <v>1</v>
      </c>
      <c r="F24" s="5">
        <v>1</v>
      </c>
      <c r="G24" s="16">
        <v>100</v>
      </c>
      <c r="H24" s="16">
        <f>_xlfn.XLOOKUP(C24,[1]M09_AL!$C:$C,[1]M09_AL!$H:$H,"")</f>
        <v>0.78260869565217395</v>
      </c>
      <c r="I24" s="16">
        <v>1</v>
      </c>
      <c r="J24" s="93">
        <f t="shared" si="0"/>
        <v>95.652173913043484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7" t="s">
        <v>691</v>
      </c>
      <c r="B25" s="7">
        <v>1</v>
      </c>
      <c r="C25" s="14" t="s">
        <v>690</v>
      </c>
      <c r="D25" s="7" t="s">
        <v>624</v>
      </c>
      <c r="E25" s="7">
        <v>1</v>
      </c>
      <c r="F25" s="7">
        <v>1</v>
      </c>
      <c r="G25" s="16">
        <v>57.5</v>
      </c>
      <c r="H25" s="16">
        <f>_xlfn.XLOOKUP(C25,[1]M09_AL!$C:$C,[1]M09_AL!$H:$H,"")</f>
        <v>0.56521739130434778</v>
      </c>
      <c r="I25" s="16">
        <v>1</v>
      </c>
      <c r="J25" s="93">
        <f t="shared" si="0"/>
        <v>61.554347826086953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s="70" customFormat="1" x14ac:dyDescent="0.2">
      <c r="A26" s="61" t="s">
        <v>689</v>
      </c>
      <c r="B26" s="61">
        <v>1</v>
      </c>
      <c r="C26" s="62" t="s">
        <v>688</v>
      </c>
      <c r="D26" s="61" t="s">
        <v>9</v>
      </c>
      <c r="E26" s="61"/>
      <c r="F26" s="61"/>
      <c r="G26" s="61"/>
      <c r="H26" s="16"/>
      <c r="I26" s="16"/>
      <c r="J26" s="93">
        <f t="shared" si="0"/>
        <v>0</v>
      </c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</row>
    <row r="27" spans="1:40" s="70" customFormat="1" x14ac:dyDescent="0.2">
      <c r="A27" s="61" t="s">
        <v>687</v>
      </c>
      <c r="B27" s="61">
        <v>1</v>
      </c>
      <c r="C27" s="62" t="s">
        <v>686</v>
      </c>
      <c r="D27" s="61" t="s">
        <v>154</v>
      </c>
      <c r="E27" s="61">
        <v>0.5</v>
      </c>
      <c r="F27" s="61"/>
      <c r="G27" s="61"/>
      <c r="H27" s="16"/>
      <c r="I27" s="16"/>
      <c r="J27" s="93">
        <f t="shared" si="0"/>
        <v>0</v>
      </c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</row>
    <row r="28" spans="1:40" x14ac:dyDescent="0.2">
      <c r="A28" s="5" t="s">
        <v>685</v>
      </c>
      <c r="B28" s="5">
        <v>1</v>
      </c>
      <c r="C28" s="13" t="s">
        <v>684</v>
      </c>
      <c r="D28" s="5" t="s">
        <v>151</v>
      </c>
      <c r="E28" s="5"/>
      <c r="F28" s="5">
        <v>1</v>
      </c>
      <c r="G28" s="16">
        <v>50</v>
      </c>
      <c r="H28" s="16">
        <f>_xlfn.XLOOKUP(C28,[1]M09_AL!$C:$C,[1]M09_AL!$H:$H,"")</f>
        <v>0.78260869565217395</v>
      </c>
      <c r="I28" s="16">
        <v>1</v>
      </c>
      <c r="J28" s="93">
        <f t="shared" si="0"/>
        <v>60.652173913043477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7" t="s">
        <v>683</v>
      </c>
      <c r="B29" s="17" t="s">
        <v>192</v>
      </c>
      <c r="C29" s="14" t="s">
        <v>682</v>
      </c>
      <c r="D29" s="7" t="s">
        <v>9</v>
      </c>
      <c r="E29" s="7">
        <v>1</v>
      </c>
      <c r="F29" s="7"/>
      <c r="G29" s="16">
        <v>0</v>
      </c>
      <c r="H29" s="16">
        <f>_xlfn.XLOOKUP(C29,[1]M09_AL!$C:$C,[1]M09_AL!$H:$H,"")</f>
        <v>0.2608695652173913</v>
      </c>
      <c r="I29" s="16">
        <v>1</v>
      </c>
      <c r="J29" s="93">
        <f t="shared" si="0"/>
        <v>15.217391304347826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x14ac:dyDescent="0.2">
      <c r="A30" s="5" t="s">
        <v>681</v>
      </c>
      <c r="B30" s="5">
        <v>1</v>
      </c>
      <c r="C30" s="13" t="s">
        <v>680</v>
      </c>
      <c r="D30" s="5" t="s">
        <v>154</v>
      </c>
      <c r="E30" s="5">
        <v>1</v>
      </c>
      <c r="F30" s="5">
        <v>1</v>
      </c>
      <c r="G30" s="16">
        <v>35</v>
      </c>
      <c r="H30" s="16">
        <f>_xlfn.XLOOKUP(C30,[1]M09_AL!$C:$C,[1]M09_AL!$H:$H,"")</f>
        <v>0.78260869565217395</v>
      </c>
      <c r="I30" s="16">
        <v>1</v>
      </c>
      <c r="J30" s="93">
        <f t="shared" si="0"/>
        <v>50.152173913043477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7" t="s">
        <v>679</v>
      </c>
      <c r="B31" s="16" t="s">
        <v>2</v>
      </c>
      <c r="C31" s="14" t="s">
        <v>678</v>
      </c>
      <c r="D31" s="7" t="s">
        <v>168</v>
      </c>
      <c r="E31" s="7">
        <v>1</v>
      </c>
      <c r="F31" s="7">
        <v>1</v>
      </c>
      <c r="G31" s="16">
        <v>100</v>
      </c>
      <c r="H31" s="16">
        <f>_xlfn.XLOOKUP(C31,[1]M09_AL!$C:$C,[1]M09_AL!$H:$H,"")</f>
        <v>0.78260869565217395</v>
      </c>
      <c r="I31" s="16">
        <v>1</v>
      </c>
      <c r="J31" s="93">
        <f t="shared" si="0"/>
        <v>95.652173913043484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x14ac:dyDescent="0.2">
      <c r="A32" s="5" t="s">
        <v>677</v>
      </c>
      <c r="B32" s="17" t="s">
        <v>192</v>
      </c>
      <c r="C32" s="13" t="s">
        <v>676</v>
      </c>
      <c r="D32" s="5" t="s">
        <v>154</v>
      </c>
      <c r="E32" s="5">
        <v>1</v>
      </c>
      <c r="F32" s="5">
        <v>1</v>
      </c>
      <c r="G32" s="16">
        <v>68</v>
      </c>
      <c r="H32" s="16">
        <f>_xlfn.XLOOKUP(C32,[1]M09_AL!$C:$C,[1]M09_AL!$H:$H,"")</f>
        <v>0.2608695652173913</v>
      </c>
      <c r="I32" s="16">
        <v>1</v>
      </c>
      <c r="J32" s="93">
        <f t="shared" si="0"/>
        <v>62.817391304347822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3:10" s="70" customFormat="1" x14ac:dyDescent="0.2">
      <c r="C33" s="88" t="s">
        <v>736</v>
      </c>
      <c r="G33" s="61"/>
      <c r="H33" s="16" t="str">
        <f>_xlfn.XLOOKUP(C33,[1]M09_AL!$C:$C,[1]M09_AL!$H:$H,"")</f>
        <v/>
      </c>
      <c r="I33" s="87"/>
      <c r="J33" s="93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35"/>
  <sheetViews>
    <sheetView topLeftCell="C1" zoomScale="125" workbookViewId="0">
      <pane xSplit="9" ySplit="13" topLeftCell="L14" activePane="bottomRight" state="frozen"/>
      <selection activeCell="C1" sqref="C1"/>
      <selection pane="topRight" activeCell="K1" sqref="K1"/>
      <selection pane="bottomLeft" activeCell="C14" sqref="C14"/>
      <selection pane="bottomRight" activeCell="G5" sqref="G5:G35"/>
    </sheetView>
  </sheetViews>
  <sheetFormatPr baseColWidth="10" defaultColWidth="8.83203125" defaultRowHeight="15" x14ac:dyDescent="0.2"/>
  <cols>
    <col min="1" max="1" width="15.1640625" hidden="1" customWidth="1"/>
    <col min="2" max="2" width="4.5" hidden="1" customWidth="1"/>
    <col min="3" max="3" width="41.1640625" style="19" bestFit="1" customWidth="1"/>
    <col min="4" max="4" width="11.5" hidden="1" customWidth="1"/>
    <col min="5" max="5" width="14.33203125" customWidth="1"/>
    <col min="6" max="6" width="8.83203125" customWidth="1"/>
    <col min="7" max="7" width="10" style="4" bestFit="1" customWidth="1"/>
    <col min="8" max="8" width="10" style="4" customWidth="1"/>
    <col min="9" max="9" width="8" style="4" bestFit="1" customWidth="1"/>
    <col min="10" max="10" width="8.33203125" style="4" bestFit="1" customWidth="1"/>
    <col min="11" max="11" width="10.1640625" style="4" bestFit="1" customWidth="1"/>
    <col min="12" max="12" width="12.83203125" style="4" bestFit="1" customWidth="1"/>
    <col min="13" max="13" width="10.83203125" style="4" bestFit="1" customWidth="1"/>
    <col min="14" max="14" width="9" style="4" bestFit="1" customWidth="1"/>
    <col min="15" max="15" width="6.6640625" style="4" bestFit="1" customWidth="1"/>
    <col min="16" max="16" width="8.1640625" style="4" bestFit="1" customWidth="1"/>
    <col min="17" max="17" width="7.33203125" style="4" bestFit="1" customWidth="1"/>
    <col min="18" max="18" width="12.5" style="4" customWidth="1"/>
    <col min="19" max="19" width="10.83203125" style="4" bestFit="1" customWidth="1"/>
    <col min="20" max="20" width="9" style="4" bestFit="1" customWidth="1"/>
    <col min="21" max="21" width="6.6640625" style="4" bestFit="1" customWidth="1"/>
    <col min="22" max="22" width="8.1640625" style="4" bestFit="1" customWidth="1"/>
    <col min="23" max="23" width="7.33203125" style="4" bestFit="1" customWidth="1"/>
    <col min="24" max="24" width="12.5" style="4" customWidth="1"/>
    <col min="25" max="25" width="10.83203125" style="4" bestFit="1" customWidth="1"/>
    <col min="26" max="26" width="9" style="4" bestFit="1" customWidth="1"/>
    <col min="27" max="27" width="6.6640625" style="4" bestFit="1" customWidth="1"/>
    <col min="28" max="28" width="8.1640625" style="4" bestFit="1" customWidth="1"/>
    <col min="29" max="29" width="7.33203125" style="4" bestFit="1" customWidth="1"/>
    <col min="30" max="30" width="12.5" style="4" customWidth="1"/>
    <col min="31" max="31" width="10.83203125" style="4" bestFit="1" customWidth="1"/>
    <col min="32" max="32" width="9" style="4" bestFit="1" customWidth="1"/>
    <col min="33" max="33" width="6.6640625" style="4" bestFit="1" customWidth="1"/>
    <col min="34" max="34" width="8.1640625" style="4" bestFit="1" customWidth="1"/>
    <col min="35" max="35" width="7.33203125" style="4" bestFit="1" customWidth="1"/>
    <col min="36" max="36" width="12.5" style="4" customWidth="1"/>
    <col min="37" max="37" width="10.83203125" style="4" bestFit="1" customWidth="1"/>
    <col min="38" max="38" width="9" style="4" bestFit="1" customWidth="1"/>
    <col min="39" max="39" width="6.6640625" style="4" bestFit="1" customWidth="1"/>
    <col min="40" max="40" width="8.1640625" style="4" bestFit="1" customWidth="1"/>
    <col min="41" max="41" width="7.33203125" style="4" bestFit="1" customWidth="1"/>
    <col min="42" max="42" width="12.5" style="4" customWidth="1"/>
    <col min="43" max="43" width="10.83203125" style="4" bestFit="1" customWidth="1"/>
    <col min="44" max="44" width="9" style="4" bestFit="1" customWidth="1"/>
    <col min="45" max="45" width="6.6640625" style="4" bestFit="1" customWidth="1"/>
    <col min="46" max="46" width="8.1640625" style="4" bestFit="1" customWidth="1"/>
    <col min="47" max="47" width="7.33203125" style="4" bestFit="1" customWidth="1"/>
    <col min="48" max="48" width="12.5" style="4" customWidth="1"/>
    <col min="49" max="49" width="10.83203125" style="4" bestFit="1" customWidth="1"/>
    <col min="50" max="50" width="9" style="4" bestFit="1" customWidth="1"/>
    <col min="51" max="51" width="6.6640625" style="4" bestFit="1" customWidth="1"/>
    <col min="52" max="52" width="8.1640625" style="4" bestFit="1" customWidth="1"/>
    <col min="53" max="53" width="7.33203125" style="4" bestFit="1" customWidth="1"/>
    <col min="54" max="54" width="12.5" style="4" customWidth="1"/>
    <col min="55" max="55" width="10.83203125" style="4" bestFit="1" customWidth="1"/>
    <col min="56" max="56" width="9" style="4" bestFit="1" customWidth="1"/>
    <col min="57" max="57" width="6.6640625" style="4" bestFit="1" customWidth="1"/>
    <col min="58" max="58" width="8.1640625" style="4" bestFit="1" customWidth="1"/>
    <col min="59" max="59" width="7.33203125" style="4" bestFit="1" customWidth="1"/>
    <col min="60" max="60" width="3.33203125" style="4" bestFit="1" customWidth="1"/>
    <col min="61" max="61" width="12.5" style="4" customWidth="1"/>
    <col min="62" max="62" width="10.83203125" style="4" bestFit="1" customWidth="1"/>
    <col min="63" max="63" width="9" style="4" bestFit="1" customWidth="1"/>
    <col min="64" max="66" width="8.83203125" style="4"/>
    <col min="67" max="67" width="12.5" style="4" customWidth="1"/>
    <col min="68" max="68" width="10.83203125" style="4" bestFit="1" customWidth="1"/>
    <col min="69" max="69" width="9" style="4" bestFit="1" customWidth="1"/>
    <col min="70" max="72" width="8.83203125" style="4"/>
    <col min="73" max="73" width="12.5" style="4" customWidth="1"/>
    <col min="74" max="74" width="10.83203125" style="4" bestFit="1" customWidth="1"/>
    <col min="75" max="75" width="9" style="4" bestFit="1" customWidth="1"/>
    <col min="76" max="78" width="8.83203125" style="4"/>
    <col min="79" max="79" width="12.5" style="4" customWidth="1"/>
    <col min="80" max="80" width="10.83203125" style="4" bestFit="1" customWidth="1"/>
    <col min="81" max="81" width="10.83203125" style="4" customWidth="1"/>
    <col min="82" max="84" width="8.83203125" style="4"/>
    <col min="86" max="86" width="9.5" bestFit="1" customWidth="1"/>
  </cols>
  <sheetData>
    <row r="1" spans="1:116" ht="16" thickBot="1" x14ac:dyDescent="0.25">
      <c r="C1" s="19" t="s">
        <v>0</v>
      </c>
      <c r="L1" s="114" t="s">
        <v>751</v>
      </c>
      <c r="M1" s="115"/>
      <c r="N1" s="115"/>
      <c r="O1" s="36"/>
      <c r="P1" s="36"/>
      <c r="Q1" s="29"/>
      <c r="U1" s="36"/>
      <c r="V1" s="36"/>
      <c r="W1" s="29"/>
      <c r="AA1" s="36"/>
      <c r="AB1" s="36"/>
      <c r="AC1" s="29"/>
      <c r="AG1" s="36"/>
      <c r="AH1" s="36"/>
      <c r="AI1" s="29"/>
      <c r="AM1" s="25"/>
      <c r="AN1" s="25"/>
      <c r="AO1" s="9"/>
      <c r="AS1" s="25"/>
      <c r="AT1" s="25"/>
      <c r="AU1" s="9"/>
      <c r="AY1" s="25"/>
      <c r="AZ1" s="25"/>
      <c r="BA1" s="9"/>
      <c r="BE1" s="25"/>
      <c r="BF1" s="25"/>
      <c r="BG1" s="9"/>
      <c r="BH1" s="104" t="s">
        <v>769</v>
      </c>
      <c r="BL1" s="25"/>
      <c r="BM1" s="25"/>
      <c r="BN1" s="9"/>
      <c r="BR1" s="25"/>
      <c r="BS1" s="25"/>
      <c r="BT1" s="9"/>
      <c r="BX1" s="25"/>
      <c r="BY1" s="25"/>
      <c r="BZ1" s="9"/>
      <c r="CD1" s="25"/>
      <c r="CE1" s="25"/>
      <c r="CF1" s="9"/>
    </row>
    <row r="2" spans="1:116" x14ac:dyDescent="0.2">
      <c r="A2" s="1" t="s">
        <v>1</v>
      </c>
      <c r="B2" s="1" t="s">
        <v>2</v>
      </c>
      <c r="C2" s="20"/>
      <c r="D2" s="1" t="s">
        <v>4</v>
      </c>
      <c r="E2" s="1" t="s">
        <v>738</v>
      </c>
      <c r="F2" s="1"/>
      <c r="G2" s="9"/>
      <c r="H2" s="52"/>
      <c r="I2" s="52"/>
      <c r="J2" s="102" t="s">
        <v>758</v>
      </c>
      <c r="K2" s="36"/>
      <c r="L2" s="109" t="s">
        <v>759</v>
      </c>
      <c r="M2" s="110"/>
      <c r="N2" s="110"/>
      <c r="O2" s="110"/>
      <c r="P2" s="110"/>
      <c r="Q2" s="111"/>
      <c r="R2" s="112" t="s">
        <v>760</v>
      </c>
      <c r="S2" s="110"/>
      <c r="T2" s="110"/>
      <c r="U2" s="110"/>
      <c r="V2" s="110"/>
      <c r="W2" s="113"/>
      <c r="X2" s="109" t="s">
        <v>761</v>
      </c>
      <c r="Y2" s="110"/>
      <c r="Z2" s="110"/>
      <c r="AA2" s="110"/>
      <c r="AB2" s="110"/>
      <c r="AC2" s="110"/>
      <c r="AD2" s="112" t="s">
        <v>762</v>
      </c>
      <c r="AE2" s="110"/>
      <c r="AF2" s="110"/>
      <c r="AG2" s="110"/>
      <c r="AH2" s="110"/>
      <c r="AI2" s="113"/>
      <c r="AJ2" s="101" t="s">
        <v>765</v>
      </c>
      <c r="AK2" s="101"/>
      <c r="AL2" s="101"/>
      <c r="AM2" s="101"/>
      <c r="AN2" s="101"/>
      <c r="AO2" s="101"/>
      <c r="AP2" s="100" t="s">
        <v>766</v>
      </c>
      <c r="AQ2" s="101"/>
      <c r="AR2" s="101"/>
      <c r="AS2" s="101"/>
      <c r="AT2" s="101"/>
      <c r="AU2" s="101"/>
      <c r="AV2" s="100" t="s">
        <v>767</v>
      </c>
      <c r="AW2" s="101"/>
      <c r="AX2" s="101"/>
      <c r="AY2" s="101"/>
      <c r="AZ2" s="101"/>
      <c r="BA2" s="101"/>
      <c r="BB2" s="100" t="s">
        <v>768</v>
      </c>
      <c r="BC2" s="101"/>
      <c r="BD2" s="101"/>
      <c r="BE2" s="101"/>
      <c r="BF2" s="101"/>
      <c r="BG2" s="101"/>
      <c r="BH2" s="104"/>
      <c r="BI2" s="100" t="s">
        <v>756</v>
      </c>
      <c r="BJ2" s="101"/>
      <c r="BK2" s="101"/>
      <c r="BL2" s="101"/>
      <c r="BM2" s="101"/>
      <c r="BN2" s="101"/>
      <c r="BO2" s="100" t="s">
        <v>756</v>
      </c>
      <c r="BP2" s="101"/>
      <c r="BQ2" s="101"/>
      <c r="BR2" s="101"/>
      <c r="BS2" s="101"/>
      <c r="BT2" s="101"/>
      <c r="BU2" s="100" t="s">
        <v>756</v>
      </c>
      <c r="BV2" s="101"/>
      <c r="BW2" s="101"/>
      <c r="BX2" s="101"/>
      <c r="BY2" s="101"/>
      <c r="BZ2" s="101"/>
      <c r="CA2" s="100" t="s">
        <v>756</v>
      </c>
      <c r="CB2" s="101"/>
      <c r="CC2" s="101"/>
      <c r="CD2" s="101"/>
      <c r="CE2" s="101"/>
      <c r="CF2" s="10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spans="1:116" ht="48" x14ac:dyDescent="0.2">
      <c r="A3" s="2" t="s">
        <v>7</v>
      </c>
      <c r="B3" s="2">
        <v>1</v>
      </c>
      <c r="C3" s="56" t="s">
        <v>3</v>
      </c>
      <c r="D3" s="2" t="s">
        <v>9</v>
      </c>
      <c r="E3" s="56" t="s">
        <v>777</v>
      </c>
      <c r="F3" s="56" t="s">
        <v>778</v>
      </c>
      <c r="G3" s="9" t="s">
        <v>757</v>
      </c>
      <c r="H3" s="9" t="s">
        <v>757</v>
      </c>
      <c r="I3" s="24" t="s">
        <v>770</v>
      </c>
      <c r="J3" s="103"/>
      <c r="K3" s="56" t="s">
        <v>772</v>
      </c>
      <c r="L3" s="42" t="s">
        <v>752</v>
      </c>
      <c r="M3" s="9" t="s">
        <v>753</v>
      </c>
      <c r="N3" s="9" t="s">
        <v>754</v>
      </c>
      <c r="O3" s="9" t="s">
        <v>763</v>
      </c>
      <c r="P3" s="18" t="s">
        <v>771</v>
      </c>
      <c r="Q3" s="9" t="s">
        <v>755</v>
      </c>
      <c r="R3" s="18" t="s">
        <v>752</v>
      </c>
      <c r="S3" s="9" t="s">
        <v>753</v>
      </c>
      <c r="T3" s="9" t="s">
        <v>754</v>
      </c>
      <c r="U3" s="9" t="s">
        <v>763</v>
      </c>
      <c r="V3" s="18" t="s">
        <v>771</v>
      </c>
      <c r="W3" s="43" t="s">
        <v>755</v>
      </c>
      <c r="X3" s="42" t="s">
        <v>752</v>
      </c>
      <c r="Y3" s="9" t="s">
        <v>753</v>
      </c>
      <c r="Z3" s="9" t="s">
        <v>754</v>
      </c>
      <c r="AA3" s="9" t="s">
        <v>763</v>
      </c>
      <c r="AB3" s="18" t="s">
        <v>771</v>
      </c>
      <c r="AC3" s="9" t="s">
        <v>755</v>
      </c>
      <c r="AD3" s="18" t="s">
        <v>752</v>
      </c>
      <c r="AE3" s="9" t="s">
        <v>753</v>
      </c>
      <c r="AF3" s="9" t="s">
        <v>754</v>
      </c>
      <c r="AG3" s="9" t="s">
        <v>763</v>
      </c>
      <c r="AH3" s="18" t="s">
        <v>771</v>
      </c>
      <c r="AI3" s="43" t="s">
        <v>755</v>
      </c>
      <c r="AJ3" s="28" t="s">
        <v>752</v>
      </c>
      <c r="AK3" s="9" t="s">
        <v>753</v>
      </c>
      <c r="AL3" s="9" t="s">
        <v>754</v>
      </c>
      <c r="AM3" s="9" t="s">
        <v>763</v>
      </c>
      <c r="AN3" s="18" t="s">
        <v>771</v>
      </c>
      <c r="AO3" s="9" t="s">
        <v>755</v>
      </c>
      <c r="AP3" s="18" t="s">
        <v>752</v>
      </c>
      <c r="AQ3" s="9" t="s">
        <v>753</v>
      </c>
      <c r="AR3" s="9" t="s">
        <v>754</v>
      </c>
      <c r="AS3" s="9" t="s">
        <v>763</v>
      </c>
      <c r="AT3" s="18" t="s">
        <v>771</v>
      </c>
      <c r="AU3" s="9" t="s">
        <v>755</v>
      </c>
      <c r="AV3" s="18" t="s">
        <v>752</v>
      </c>
      <c r="AW3" s="9" t="s">
        <v>753</v>
      </c>
      <c r="AX3" s="9" t="s">
        <v>754</v>
      </c>
      <c r="AY3" s="9" t="s">
        <v>763</v>
      </c>
      <c r="AZ3" s="18" t="s">
        <v>771</v>
      </c>
      <c r="BA3" s="9" t="s">
        <v>755</v>
      </c>
      <c r="BB3" s="18" t="s">
        <v>752</v>
      </c>
      <c r="BC3" s="9" t="s">
        <v>753</v>
      </c>
      <c r="BD3" s="9" t="s">
        <v>754</v>
      </c>
      <c r="BE3" s="9" t="s">
        <v>763</v>
      </c>
      <c r="BF3" s="18" t="s">
        <v>771</v>
      </c>
      <c r="BG3" s="9" t="s">
        <v>755</v>
      </c>
      <c r="BH3" s="105"/>
      <c r="BI3" s="18" t="s">
        <v>752</v>
      </c>
      <c r="BJ3" s="9" t="s">
        <v>753</v>
      </c>
      <c r="BK3" s="9" t="s">
        <v>754</v>
      </c>
      <c r="BL3" s="9" t="s">
        <v>763</v>
      </c>
      <c r="BM3" s="9" t="s">
        <v>764</v>
      </c>
      <c r="BN3" s="9" t="s">
        <v>755</v>
      </c>
      <c r="BO3" s="18" t="s">
        <v>752</v>
      </c>
      <c r="BP3" s="9" t="s">
        <v>753</v>
      </c>
      <c r="BQ3" s="9" t="s">
        <v>754</v>
      </c>
      <c r="BR3" s="9" t="s">
        <v>763</v>
      </c>
      <c r="BS3" s="9" t="s">
        <v>764</v>
      </c>
      <c r="BT3" s="9" t="s">
        <v>755</v>
      </c>
      <c r="BU3" s="18" t="s">
        <v>752</v>
      </c>
      <c r="BV3" s="9" t="s">
        <v>753</v>
      </c>
      <c r="BW3" s="9" t="s">
        <v>754</v>
      </c>
      <c r="BX3" s="9" t="s">
        <v>763</v>
      </c>
      <c r="BY3" s="9" t="s">
        <v>764</v>
      </c>
      <c r="BZ3" s="9" t="s">
        <v>755</v>
      </c>
      <c r="CA3" s="18" t="s">
        <v>752</v>
      </c>
      <c r="CB3" s="9" t="s">
        <v>753</v>
      </c>
      <c r="CC3" s="9" t="s">
        <v>754</v>
      </c>
      <c r="CD3" s="9" t="s">
        <v>763</v>
      </c>
      <c r="CE3" s="9" t="s">
        <v>764</v>
      </c>
      <c r="CF3" s="9" t="s">
        <v>755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</row>
    <row r="4" spans="1:116" s="85" customFormat="1" ht="16" x14ac:dyDescent="0.2">
      <c r="A4" s="83" t="s">
        <v>10</v>
      </c>
      <c r="B4" s="83">
        <v>1</v>
      </c>
      <c r="C4" s="84" t="s">
        <v>8</v>
      </c>
      <c r="D4" s="83" t="s">
        <v>9</v>
      </c>
      <c r="E4" s="91">
        <f>_xlfn.XLOOKUP(C4,'[1]9M_CD'!$C:$C,'[1]9M_CD'!$I:$I,"")</f>
        <v>0.8666666666666667</v>
      </c>
      <c r="F4" s="83"/>
      <c r="G4" s="63"/>
      <c r="H4" s="63" t="e">
        <f>J4*0.7+G4*0.2+F4*10</f>
        <v>#DIV/0!</v>
      </c>
      <c r="I4" s="64" t="e">
        <f>IF(J4&gt;=100,100,J4)</f>
        <v>#DIV/0!</v>
      </c>
      <c r="J4" s="64" t="e">
        <f>Q4*10+W4*10+AC4*15+AI4*15+AO4*15+AU4*15+BA4*20+BG4*20+K4</f>
        <v>#DIV/0!</v>
      </c>
      <c r="K4" s="65"/>
      <c r="L4" s="66"/>
      <c r="M4" s="61"/>
      <c r="N4" s="61"/>
      <c r="O4" s="61"/>
      <c r="P4" s="61"/>
      <c r="Q4" s="67" t="e">
        <f>AVERAGE(L4:P4)</f>
        <v>#DIV/0!</v>
      </c>
      <c r="R4" s="66"/>
      <c r="S4" s="61"/>
      <c r="T4" s="61"/>
      <c r="U4" s="61"/>
      <c r="V4" s="61"/>
      <c r="W4" s="67" t="e">
        <f>AVERAGE(R4:V4)</f>
        <v>#DIV/0!</v>
      </c>
      <c r="X4" s="66"/>
      <c r="Y4" s="61"/>
      <c r="Z4" s="61"/>
      <c r="AA4" s="61"/>
      <c r="AB4" s="61"/>
      <c r="AC4" s="67" t="e">
        <f>AVERAGE(X4:AB4)</f>
        <v>#DIV/0!</v>
      </c>
      <c r="AD4" s="66"/>
      <c r="AE4" s="61"/>
      <c r="AF4" s="61"/>
      <c r="AG4" s="61"/>
      <c r="AH4" s="61"/>
      <c r="AI4" s="67" t="e">
        <f>AVERAGE(AD4:AH4)</f>
        <v>#DIV/0!</v>
      </c>
      <c r="AJ4" s="66"/>
      <c r="AK4" s="61"/>
      <c r="AL4" s="61"/>
      <c r="AM4" s="61"/>
      <c r="AN4" s="61"/>
      <c r="AO4" s="67" t="e">
        <f>AVERAGE(AJ4:AN4)</f>
        <v>#DIV/0!</v>
      </c>
      <c r="AP4" s="66"/>
      <c r="AQ4" s="61"/>
      <c r="AR4" s="61"/>
      <c r="AS4" s="61"/>
      <c r="AT4" s="61"/>
      <c r="AU4" s="67" t="e">
        <f>AVERAGE(AP4:AT4)</f>
        <v>#DIV/0!</v>
      </c>
      <c r="AV4" s="66"/>
      <c r="AW4" s="61"/>
      <c r="AX4" s="61"/>
      <c r="AY4" s="61"/>
      <c r="AZ4" s="61"/>
      <c r="BA4" s="67" t="e">
        <f>AVERAGE(AV4:AZ4)</f>
        <v>#DIV/0!</v>
      </c>
      <c r="BB4" s="66"/>
      <c r="BC4" s="61"/>
      <c r="BD4" s="61"/>
      <c r="BE4" s="61"/>
      <c r="BF4" s="61"/>
      <c r="BG4" s="67" t="e">
        <f>AVERAGE(BB4:BF4)</f>
        <v>#DIV/0!</v>
      </c>
      <c r="BH4" s="106"/>
      <c r="BI4" s="66"/>
      <c r="BJ4" s="61"/>
      <c r="BK4" s="61"/>
      <c r="BL4" s="61"/>
      <c r="BM4" s="61"/>
      <c r="BN4" s="67">
        <f>SUM(BI4:BM4)/5</f>
        <v>0</v>
      </c>
      <c r="BO4" s="66"/>
      <c r="BP4" s="61"/>
      <c r="BQ4" s="61"/>
      <c r="BR4" s="61"/>
      <c r="BS4" s="61"/>
      <c r="BT4" s="67">
        <f>SUM(BO4:BS4)/5</f>
        <v>0</v>
      </c>
      <c r="BU4" s="61"/>
      <c r="BV4" s="61"/>
      <c r="BW4" s="61"/>
      <c r="BX4" s="61"/>
      <c r="BY4" s="61"/>
      <c r="BZ4" s="67">
        <f>SUM(BU4:BY4)/5</f>
        <v>0</v>
      </c>
      <c r="CA4" s="61"/>
      <c r="CB4" s="61"/>
      <c r="CC4" s="61"/>
      <c r="CD4" s="61"/>
      <c r="CE4" s="61"/>
      <c r="CF4" s="67">
        <f>SUM(CA4:CE4)/5</f>
        <v>0</v>
      </c>
      <c r="CG4" s="83"/>
      <c r="CH4" s="83"/>
      <c r="CI4" s="83"/>
      <c r="CJ4" s="83"/>
      <c r="CK4" s="83"/>
      <c r="CL4" s="83"/>
      <c r="CM4" s="83"/>
      <c r="CN4" s="83"/>
      <c r="CO4" s="83"/>
      <c r="CP4" s="83"/>
      <c r="CQ4" s="83"/>
      <c r="CR4" s="83"/>
      <c r="CS4" s="83"/>
      <c r="CT4" s="83"/>
      <c r="CU4" s="83"/>
      <c r="CV4" s="83"/>
      <c r="CW4" s="83"/>
      <c r="CX4" s="83"/>
      <c r="CY4" s="83"/>
      <c r="CZ4" s="83"/>
      <c r="DA4" s="83"/>
      <c r="DB4" s="83"/>
      <c r="DC4" s="83"/>
      <c r="DD4" s="83"/>
      <c r="DE4" s="83"/>
      <c r="DF4" s="83"/>
      <c r="DG4" s="83"/>
      <c r="DH4" s="83"/>
      <c r="DI4" s="83"/>
      <c r="DJ4" s="83"/>
      <c r="DK4" s="83"/>
      <c r="DL4" s="83"/>
    </row>
    <row r="5" spans="1:116" ht="16" x14ac:dyDescent="0.2">
      <c r="A5" s="2" t="s">
        <v>12</v>
      </c>
      <c r="B5" s="2">
        <v>1</v>
      </c>
      <c r="C5" s="22" t="s">
        <v>11</v>
      </c>
      <c r="D5" s="2" t="s">
        <v>9</v>
      </c>
      <c r="E5" s="91">
        <f>_xlfn.XLOOKUP(C5,'[1]9M_CD'!$C:$C,'[1]9M_CD'!$I:$I,"")</f>
        <v>1</v>
      </c>
      <c r="F5" s="2">
        <v>1</v>
      </c>
      <c r="G5" s="97">
        <f>H5+E5*10+F5*20</f>
        <v>100</v>
      </c>
      <c r="H5" s="30">
        <f t="shared" ref="H5:H11" si="0">I5*0.7</f>
        <v>70</v>
      </c>
      <c r="I5" s="33">
        <f t="shared" ref="I5:I34" si="1">IF(J5&gt;=100,100,J5)</f>
        <v>100</v>
      </c>
      <c r="J5" s="33">
        <f t="shared" ref="J5:J34" si="2">Q5*10+W5*10+AC5*15+AI5*15+AO5*15+AU5*15+BA5*20+BG5*20+K5</f>
        <v>101</v>
      </c>
      <c r="K5" s="57"/>
      <c r="L5" s="45">
        <v>1</v>
      </c>
      <c r="M5" s="7">
        <v>1</v>
      </c>
      <c r="N5" s="7">
        <v>1</v>
      </c>
      <c r="O5" s="7">
        <v>1</v>
      </c>
      <c r="P5" s="7">
        <v>1</v>
      </c>
      <c r="Q5" s="48">
        <f t="shared" ref="Q5:Q34" si="3">AVERAGE(L5:P5)</f>
        <v>1</v>
      </c>
      <c r="R5" s="45">
        <v>1</v>
      </c>
      <c r="S5" s="7">
        <v>1</v>
      </c>
      <c r="T5" s="7">
        <v>1</v>
      </c>
      <c r="U5" s="7">
        <v>1</v>
      </c>
      <c r="V5" s="7">
        <v>1</v>
      </c>
      <c r="W5" s="48">
        <f t="shared" ref="W5:W34" si="4">AVERAGE(R5:V5)</f>
        <v>1</v>
      </c>
      <c r="X5" s="45">
        <v>1</v>
      </c>
      <c r="Y5" s="7">
        <v>1</v>
      </c>
      <c r="Z5" s="7">
        <v>1</v>
      </c>
      <c r="AA5" s="7">
        <v>1</v>
      </c>
      <c r="AB5" s="7">
        <v>1</v>
      </c>
      <c r="AC5" s="48">
        <f t="shared" ref="AC5:AC34" si="5">AVERAGE(X5:AB5)</f>
        <v>1</v>
      </c>
      <c r="AD5" s="45">
        <v>1</v>
      </c>
      <c r="AE5" s="7">
        <v>1</v>
      </c>
      <c r="AF5" s="7">
        <v>1</v>
      </c>
      <c r="AG5" s="7">
        <v>1</v>
      </c>
      <c r="AH5" s="7">
        <v>1</v>
      </c>
      <c r="AI5" s="48">
        <f t="shared" ref="AI5:AI34" si="6">AVERAGE(AD5:AH5)</f>
        <v>1</v>
      </c>
      <c r="AJ5" s="45">
        <v>1</v>
      </c>
      <c r="AK5" s="7">
        <v>1</v>
      </c>
      <c r="AL5" s="7">
        <v>1</v>
      </c>
      <c r="AM5" s="7">
        <v>1</v>
      </c>
      <c r="AN5" s="7">
        <v>1</v>
      </c>
      <c r="AO5" s="48">
        <f t="shared" ref="AO5:AO34" si="7">AVERAGE(AJ5:AN5)</f>
        <v>1</v>
      </c>
      <c r="AP5" s="45">
        <v>1</v>
      </c>
      <c r="AQ5" s="7">
        <v>1</v>
      </c>
      <c r="AR5" s="7">
        <v>1</v>
      </c>
      <c r="AS5" s="7">
        <v>1</v>
      </c>
      <c r="AT5" s="7">
        <v>1</v>
      </c>
      <c r="AU5" s="48">
        <f t="shared" ref="AU5:AU34" si="8">AVERAGE(AP5:AT5)</f>
        <v>1</v>
      </c>
      <c r="AV5" s="45">
        <v>1</v>
      </c>
      <c r="AW5" s="7">
        <v>1</v>
      </c>
      <c r="AX5" s="7">
        <v>1</v>
      </c>
      <c r="AY5" s="7">
        <v>0</v>
      </c>
      <c r="AZ5" s="7">
        <v>0</v>
      </c>
      <c r="BA5" s="48">
        <f t="shared" ref="BA5:BA34" si="9">AVERAGE(AV5:AZ5)</f>
        <v>0.6</v>
      </c>
      <c r="BB5" s="45">
        <v>0.75</v>
      </c>
      <c r="BC5" s="7">
        <v>1</v>
      </c>
      <c r="BD5" s="7">
        <v>0.5</v>
      </c>
      <c r="BE5" s="7">
        <v>0</v>
      </c>
      <c r="BF5" s="7">
        <v>0</v>
      </c>
      <c r="BG5" s="48">
        <f t="shared" ref="BG5:BG34" si="10">AVERAGE(BB5:BF5)</f>
        <v>0.45</v>
      </c>
      <c r="BH5" s="107"/>
      <c r="BI5" s="45"/>
      <c r="BJ5" s="7"/>
      <c r="BK5" s="7"/>
      <c r="BL5" s="7"/>
      <c r="BM5" s="7"/>
      <c r="BN5" s="48">
        <f t="shared" ref="BN5:BN34" si="11">SUM(BI5:BM5)/5</f>
        <v>0</v>
      </c>
      <c r="BO5" s="45"/>
      <c r="BP5" s="7"/>
      <c r="BQ5" s="7"/>
      <c r="BR5" s="7"/>
      <c r="BS5" s="7"/>
      <c r="BT5" s="48">
        <f t="shared" ref="BT5:BT34" si="12">SUM(BO5:BS5)/5</f>
        <v>0</v>
      </c>
      <c r="BU5" s="7"/>
      <c r="BV5" s="7"/>
      <c r="BW5" s="7"/>
      <c r="BX5" s="7"/>
      <c r="BY5" s="7"/>
      <c r="BZ5" s="48">
        <f t="shared" ref="BZ5:BZ34" si="13">SUM(BU5:BY5)/5</f>
        <v>0</v>
      </c>
      <c r="CA5" s="7"/>
      <c r="CB5" s="7"/>
      <c r="CC5" s="7"/>
      <c r="CD5" s="7"/>
      <c r="CE5" s="7"/>
      <c r="CF5" s="48">
        <f t="shared" ref="CF5:CF34" si="14">SUM(CA5:CE5)/5</f>
        <v>0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</row>
    <row r="6" spans="1:116" ht="16" x14ac:dyDescent="0.2">
      <c r="A6" s="3" t="s">
        <v>14</v>
      </c>
      <c r="B6" s="3">
        <v>1</v>
      </c>
      <c r="C6" s="21" t="s">
        <v>13</v>
      </c>
      <c r="D6" s="3" t="s">
        <v>9</v>
      </c>
      <c r="E6" s="91">
        <f>_xlfn.XLOOKUP(C6,'[1]9M_CD'!$C:$C,'[1]9M_CD'!$I:$I,"")</f>
        <v>1</v>
      </c>
      <c r="F6" s="3">
        <v>1</v>
      </c>
      <c r="G6" s="97">
        <f t="shared" ref="G6:G35" si="15">H6+E6*10+F6*20</f>
        <v>94.82</v>
      </c>
      <c r="H6" s="30">
        <f t="shared" si="0"/>
        <v>64.819999999999993</v>
      </c>
      <c r="I6" s="33">
        <f t="shared" si="1"/>
        <v>92.6</v>
      </c>
      <c r="J6" s="33">
        <f t="shared" si="2"/>
        <v>92.6</v>
      </c>
      <c r="K6" s="57">
        <v>15</v>
      </c>
      <c r="L6" s="44">
        <v>1</v>
      </c>
      <c r="M6" s="5">
        <v>1</v>
      </c>
      <c r="N6" s="5">
        <v>1</v>
      </c>
      <c r="O6" s="5">
        <v>1</v>
      </c>
      <c r="P6" s="5">
        <v>1</v>
      </c>
      <c r="Q6" s="48">
        <f t="shared" si="3"/>
        <v>1</v>
      </c>
      <c r="R6" s="44">
        <v>1</v>
      </c>
      <c r="S6" s="5">
        <v>1</v>
      </c>
      <c r="T6" s="5">
        <v>1</v>
      </c>
      <c r="U6" s="5">
        <v>1</v>
      </c>
      <c r="V6" s="5">
        <v>1</v>
      </c>
      <c r="W6" s="48">
        <f t="shared" si="4"/>
        <v>1</v>
      </c>
      <c r="X6" s="44">
        <v>1</v>
      </c>
      <c r="Y6" s="5">
        <v>0.8</v>
      </c>
      <c r="Z6" s="5">
        <v>0.8</v>
      </c>
      <c r="AA6" s="5">
        <v>0.8</v>
      </c>
      <c r="AB6" s="5">
        <v>0.8</v>
      </c>
      <c r="AC6" s="48">
        <f t="shared" si="5"/>
        <v>0.84000000000000008</v>
      </c>
      <c r="AD6" s="44">
        <v>1</v>
      </c>
      <c r="AE6" s="5">
        <v>1</v>
      </c>
      <c r="AF6" s="5">
        <v>1</v>
      </c>
      <c r="AG6" s="5">
        <v>1</v>
      </c>
      <c r="AH6" s="5">
        <v>1</v>
      </c>
      <c r="AI6" s="48">
        <f t="shared" si="6"/>
        <v>1</v>
      </c>
      <c r="AJ6" s="44">
        <v>1</v>
      </c>
      <c r="AK6" s="5">
        <v>1</v>
      </c>
      <c r="AL6" s="5">
        <v>1</v>
      </c>
      <c r="AM6" s="5">
        <v>1</v>
      </c>
      <c r="AN6" s="5">
        <v>1</v>
      </c>
      <c r="AO6" s="48">
        <f t="shared" si="7"/>
        <v>1</v>
      </c>
      <c r="AP6" s="44">
        <v>1</v>
      </c>
      <c r="AQ6" s="5">
        <v>1</v>
      </c>
      <c r="AR6" s="5">
        <v>1</v>
      </c>
      <c r="AS6" s="5">
        <v>1</v>
      </c>
      <c r="AT6" s="5">
        <v>1</v>
      </c>
      <c r="AU6" s="48">
        <f t="shared" si="8"/>
        <v>1</v>
      </c>
      <c r="AV6" s="44">
        <v>0</v>
      </c>
      <c r="AW6" s="5">
        <v>0</v>
      </c>
      <c r="AX6" s="5">
        <v>0</v>
      </c>
      <c r="AY6" s="5">
        <v>0</v>
      </c>
      <c r="AZ6" s="5">
        <v>0</v>
      </c>
      <c r="BA6" s="48">
        <f t="shared" si="9"/>
        <v>0</v>
      </c>
      <c r="BB6" s="44">
        <v>0</v>
      </c>
      <c r="BC6" s="5"/>
      <c r="BD6" s="5">
        <v>0</v>
      </c>
      <c r="BE6" s="5">
        <v>0</v>
      </c>
      <c r="BF6" s="5">
        <v>0</v>
      </c>
      <c r="BG6" s="48">
        <f t="shared" si="10"/>
        <v>0</v>
      </c>
      <c r="BH6" s="107"/>
      <c r="BI6" s="44"/>
      <c r="BJ6" s="5"/>
      <c r="BK6" s="5"/>
      <c r="BL6" s="5"/>
      <c r="BM6" s="5"/>
      <c r="BN6" s="48">
        <f t="shared" si="11"/>
        <v>0</v>
      </c>
      <c r="BO6" s="44"/>
      <c r="BP6" s="5"/>
      <c r="BQ6" s="5"/>
      <c r="BR6" s="5"/>
      <c r="BS6" s="5"/>
      <c r="BT6" s="48">
        <f t="shared" si="12"/>
        <v>0</v>
      </c>
      <c r="BU6" s="5"/>
      <c r="BV6" s="5"/>
      <c r="BW6" s="5"/>
      <c r="BX6" s="5"/>
      <c r="BY6" s="5"/>
      <c r="BZ6" s="48">
        <f t="shared" si="13"/>
        <v>0</v>
      </c>
      <c r="CA6" s="5"/>
      <c r="CB6" s="5"/>
      <c r="CC6" s="5"/>
      <c r="CD6" s="5"/>
      <c r="CE6" s="5"/>
      <c r="CF6" s="48">
        <f t="shared" si="14"/>
        <v>0</v>
      </c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</row>
    <row r="7" spans="1:116" ht="16" x14ac:dyDescent="0.2">
      <c r="A7" s="2" t="s">
        <v>16</v>
      </c>
      <c r="B7" s="2">
        <v>1</v>
      </c>
      <c r="C7" s="22" t="s">
        <v>15</v>
      </c>
      <c r="D7" s="2" t="s">
        <v>9</v>
      </c>
      <c r="E7" s="91">
        <f>_xlfn.XLOOKUP(C7,'[1]9M_CD'!$C:$C,'[1]9M_CD'!$I:$I,"")</f>
        <v>1</v>
      </c>
      <c r="F7" s="2">
        <v>1</v>
      </c>
      <c r="G7" s="97">
        <f t="shared" si="15"/>
        <v>32.799999999999997</v>
      </c>
      <c r="H7" s="30">
        <f t="shared" si="0"/>
        <v>2.8</v>
      </c>
      <c r="I7" s="33">
        <f t="shared" si="1"/>
        <v>4</v>
      </c>
      <c r="J7" s="33">
        <f t="shared" si="2"/>
        <v>4</v>
      </c>
      <c r="K7" s="57"/>
      <c r="L7" s="45">
        <v>0</v>
      </c>
      <c r="M7" s="7">
        <v>0</v>
      </c>
      <c r="N7" s="7">
        <v>0</v>
      </c>
      <c r="O7" s="7">
        <v>0</v>
      </c>
      <c r="P7" s="7">
        <v>0</v>
      </c>
      <c r="Q7" s="48">
        <f t="shared" si="3"/>
        <v>0</v>
      </c>
      <c r="R7" s="45">
        <v>0</v>
      </c>
      <c r="S7" s="7">
        <v>0</v>
      </c>
      <c r="T7" s="7">
        <v>0</v>
      </c>
      <c r="U7" s="7">
        <v>0</v>
      </c>
      <c r="V7" s="7">
        <v>0</v>
      </c>
      <c r="W7" s="48">
        <f t="shared" si="4"/>
        <v>0</v>
      </c>
      <c r="X7" s="45">
        <v>0</v>
      </c>
      <c r="Y7" s="7">
        <v>0</v>
      </c>
      <c r="Z7" s="7">
        <v>0</v>
      </c>
      <c r="AA7" s="7">
        <v>0</v>
      </c>
      <c r="AB7" s="7">
        <v>0</v>
      </c>
      <c r="AC7" s="48">
        <f t="shared" si="5"/>
        <v>0</v>
      </c>
      <c r="AD7" s="45">
        <v>0</v>
      </c>
      <c r="AE7" s="7">
        <v>0</v>
      </c>
      <c r="AF7" s="7">
        <v>0</v>
      </c>
      <c r="AG7" s="7">
        <v>0</v>
      </c>
      <c r="AH7" s="7">
        <v>0</v>
      </c>
      <c r="AI7" s="48">
        <f t="shared" si="6"/>
        <v>0</v>
      </c>
      <c r="AJ7" s="45">
        <v>0</v>
      </c>
      <c r="AK7" s="7">
        <v>0</v>
      </c>
      <c r="AL7" s="7">
        <v>0</v>
      </c>
      <c r="AM7" s="7">
        <v>0</v>
      </c>
      <c r="AN7" s="7">
        <v>0</v>
      </c>
      <c r="AO7" s="48">
        <f t="shared" si="7"/>
        <v>0</v>
      </c>
      <c r="AP7" s="45">
        <v>0</v>
      </c>
      <c r="AQ7" s="7">
        <v>0</v>
      </c>
      <c r="AR7" s="7">
        <v>0</v>
      </c>
      <c r="AS7" s="7">
        <v>0</v>
      </c>
      <c r="AT7" s="7">
        <v>0</v>
      </c>
      <c r="AU7" s="48">
        <f t="shared" si="8"/>
        <v>0</v>
      </c>
      <c r="AV7" s="45">
        <v>0</v>
      </c>
      <c r="AW7" s="7">
        <v>0</v>
      </c>
      <c r="AX7" s="7">
        <v>0</v>
      </c>
      <c r="AY7" s="7">
        <v>0</v>
      </c>
      <c r="AZ7" s="7">
        <v>0</v>
      </c>
      <c r="BA7" s="48">
        <f t="shared" si="9"/>
        <v>0</v>
      </c>
      <c r="BB7" s="45">
        <v>0.5</v>
      </c>
      <c r="BC7" s="7">
        <v>0.5</v>
      </c>
      <c r="BD7" s="7">
        <v>0</v>
      </c>
      <c r="BE7" s="7">
        <v>0</v>
      </c>
      <c r="BF7" s="7">
        <v>0</v>
      </c>
      <c r="BG7" s="48">
        <f t="shared" si="10"/>
        <v>0.2</v>
      </c>
      <c r="BH7" s="107"/>
      <c r="BI7" s="45"/>
      <c r="BJ7" s="7"/>
      <c r="BK7" s="7"/>
      <c r="BL7" s="7"/>
      <c r="BM7" s="7"/>
      <c r="BN7" s="48">
        <f t="shared" si="11"/>
        <v>0</v>
      </c>
      <c r="BO7" s="45"/>
      <c r="BP7" s="7"/>
      <c r="BQ7" s="7"/>
      <c r="BR7" s="7"/>
      <c r="BS7" s="7"/>
      <c r="BT7" s="48">
        <f t="shared" si="12"/>
        <v>0</v>
      </c>
      <c r="BU7" s="7"/>
      <c r="BV7" s="7"/>
      <c r="BW7" s="7"/>
      <c r="BX7" s="7"/>
      <c r="BY7" s="7"/>
      <c r="BZ7" s="48">
        <f t="shared" si="13"/>
        <v>0</v>
      </c>
      <c r="CA7" s="7"/>
      <c r="CB7" s="7"/>
      <c r="CC7" s="7"/>
      <c r="CD7" s="7"/>
      <c r="CE7" s="7"/>
      <c r="CF7" s="48">
        <f t="shared" si="14"/>
        <v>0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</row>
    <row r="8" spans="1:116" ht="16" x14ac:dyDescent="0.2">
      <c r="A8" s="3" t="s">
        <v>18</v>
      </c>
      <c r="B8" s="3">
        <v>1</v>
      </c>
      <c r="C8" s="21" t="s">
        <v>17</v>
      </c>
      <c r="D8" s="3" t="s">
        <v>9</v>
      </c>
      <c r="E8" s="91">
        <f>_xlfn.XLOOKUP(C8,'[1]9M_CD'!$C:$C,'[1]9M_CD'!$I:$I,"")</f>
        <v>1</v>
      </c>
      <c r="F8" s="3">
        <v>1</v>
      </c>
      <c r="G8" s="97">
        <f t="shared" si="15"/>
        <v>100</v>
      </c>
      <c r="H8" s="30">
        <f t="shared" si="0"/>
        <v>70</v>
      </c>
      <c r="I8" s="33">
        <f t="shared" si="1"/>
        <v>100</v>
      </c>
      <c r="J8" s="33">
        <f t="shared" si="2"/>
        <v>120</v>
      </c>
      <c r="K8" s="57"/>
      <c r="L8" s="44">
        <v>1</v>
      </c>
      <c r="M8" s="5">
        <v>1</v>
      </c>
      <c r="N8" s="5">
        <v>1</v>
      </c>
      <c r="O8" s="5">
        <v>1</v>
      </c>
      <c r="P8" s="5">
        <v>1</v>
      </c>
      <c r="Q8" s="48">
        <f t="shared" si="3"/>
        <v>1</v>
      </c>
      <c r="R8" s="44">
        <v>1</v>
      </c>
      <c r="S8" s="5">
        <v>1</v>
      </c>
      <c r="T8" s="5">
        <v>1</v>
      </c>
      <c r="U8" s="5">
        <v>1</v>
      </c>
      <c r="V8" s="5">
        <v>1</v>
      </c>
      <c r="W8" s="48">
        <f t="shared" si="4"/>
        <v>1</v>
      </c>
      <c r="X8" s="44">
        <v>1</v>
      </c>
      <c r="Y8" s="5">
        <v>1</v>
      </c>
      <c r="Z8" s="5">
        <v>1</v>
      </c>
      <c r="AA8" s="5">
        <v>1</v>
      </c>
      <c r="AB8" s="5">
        <v>1</v>
      </c>
      <c r="AC8" s="48">
        <f t="shared" si="5"/>
        <v>1</v>
      </c>
      <c r="AD8" s="44">
        <v>1</v>
      </c>
      <c r="AE8" s="5">
        <v>1</v>
      </c>
      <c r="AF8" s="5">
        <v>1</v>
      </c>
      <c r="AG8" s="5">
        <v>1</v>
      </c>
      <c r="AH8" s="5">
        <v>1</v>
      </c>
      <c r="AI8" s="48">
        <f t="shared" si="6"/>
        <v>1</v>
      </c>
      <c r="AJ8" s="44">
        <v>1</v>
      </c>
      <c r="AK8" s="5">
        <v>1</v>
      </c>
      <c r="AL8" s="5">
        <v>1</v>
      </c>
      <c r="AM8" s="5">
        <v>1</v>
      </c>
      <c r="AN8" s="5">
        <v>1</v>
      </c>
      <c r="AO8" s="48">
        <f t="shared" si="7"/>
        <v>1</v>
      </c>
      <c r="AP8" s="44">
        <v>1</v>
      </c>
      <c r="AQ8" s="5">
        <v>1</v>
      </c>
      <c r="AR8" s="5">
        <v>1</v>
      </c>
      <c r="AS8" s="5">
        <v>1</v>
      </c>
      <c r="AT8" s="5">
        <v>1</v>
      </c>
      <c r="AU8" s="48">
        <f t="shared" si="8"/>
        <v>1</v>
      </c>
      <c r="AV8" s="44">
        <v>1</v>
      </c>
      <c r="AW8" s="5">
        <v>1</v>
      </c>
      <c r="AX8" s="5">
        <v>1</v>
      </c>
      <c r="AY8" s="5">
        <v>1</v>
      </c>
      <c r="AZ8" s="5">
        <v>1</v>
      </c>
      <c r="BA8" s="48">
        <f t="shared" si="9"/>
        <v>1</v>
      </c>
      <c r="BB8" s="44">
        <v>1</v>
      </c>
      <c r="BC8" s="5">
        <v>1</v>
      </c>
      <c r="BD8" s="5">
        <v>1</v>
      </c>
      <c r="BE8" s="5">
        <v>1</v>
      </c>
      <c r="BF8" s="5">
        <v>1</v>
      </c>
      <c r="BG8" s="48">
        <f t="shared" si="10"/>
        <v>1</v>
      </c>
      <c r="BH8" s="107"/>
      <c r="BI8" s="44"/>
      <c r="BJ8" s="5"/>
      <c r="BK8" s="5"/>
      <c r="BL8" s="5"/>
      <c r="BM8" s="5"/>
      <c r="BN8" s="48">
        <f t="shared" si="11"/>
        <v>0</v>
      </c>
      <c r="BO8" s="44"/>
      <c r="BP8" s="5"/>
      <c r="BQ8" s="5"/>
      <c r="BR8" s="5"/>
      <c r="BS8" s="5"/>
      <c r="BT8" s="48">
        <f t="shared" si="12"/>
        <v>0</v>
      </c>
      <c r="BU8" s="5"/>
      <c r="BV8" s="5"/>
      <c r="BW8" s="5"/>
      <c r="BX8" s="5"/>
      <c r="BY8" s="5"/>
      <c r="BZ8" s="48">
        <f t="shared" si="13"/>
        <v>0</v>
      </c>
      <c r="CA8" s="5"/>
      <c r="CB8" s="5"/>
      <c r="CC8" s="5"/>
      <c r="CD8" s="5"/>
      <c r="CE8" s="5"/>
      <c r="CF8" s="48">
        <f t="shared" si="14"/>
        <v>0</v>
      </c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</row>
    <row r="9" spans="1:116" ht="16" x14ac:dyDescent="0.2">
      <c r="A9" s="2" t="s">
        <v>20</v>
      </c>
      <c r="B9" s="2">
        <v>1</v>
      </c>
      <c r="C9" s="22" t="s">
        <v>19</v>
      </c>
      <c r="D9" s="2" t="s">
        <v>9</v>
      </c>
      <c r="E9" s="91">
        <f>_xlfn.XLOOKUP(C9,'[1]9M_CD'!$C:$C,'[1]9M_CD'!$I:$I,"")</f>
        <v>1</v>
      </c>
      <c r="F9" s="2">
        <v>1</v>
      </c>
      <c r="G9" s="97">
        <f t="shared" si="15"/>
        <v>30</v>
      </c>
      <c r="H9" s="30">
        <f t="shared" si="0"/>
        <v>0</v>
      </c>
      <c r="I9" s="33">
        <f>IF(J9&gt;=100,100,J9)</f>
        <v>0</v>
      </c>
      <c r="J9" s="33">
        <f>Q9*10+W9*10+AC9*15+AI9*15+AO9*15+AU9*15+BA9*20+BG9*20+K9</f>
        <v>0</v>
      </c>
      <c r="K9" s="57"/>
      <c r="L9" s="45">
        <v>0</v>
      </c>
      <c r="M9" s="7">
        <v>0</v>
      </c>
      <c r="N9" s="7">
        <v>0</v>
      </c>
      <c r="O9" s="7">
        <v>0</v>
      </c>
      <c r="P9" s="7">
        <v>0</v>
      </c>
      <c r="Q9" s="48">
        <f t="shared" si="3"/>
        <v>0</v>
      </c>
      <c r="R9" s="45">
        <v>0</v>
      </c>
      <c r="S9" s="7">
        <v>0</v>
      </c>
      <c r="T9" s="7">
        <v>0</v>
      </c>
      <c r="U9" s="7">
        <v>0</v>
      </c>
      <c r="V9" s="7">
        <v>0</v>
      </c>
      <c r="W9" s="48">
        <f t="shared" si="4"/>
        <v>0</v>
      </c>
      <c r="X9" s="45">
        <v>0</v>
      </c>
      <c r="Y9" s="7">
        <v>0</v>
      </c>
      <c r="Z9" s="7">
        <v>0</v>
      </c>
      <c r="AA9" s="7">
        <v>0</v>
      </c>
      <c r="AB9" s="7">
        <v>0</v>
      </c>
      <c r="AC9" s="48">
        <f t="shared" si="5"/>
        <v>0</v>
      </c>
      <c r="AD9" s="45">
        <v>0</v>
      </c>
      <c r="AE9" s="7">
        <v>0</v>
      </c>
      <c r="AF9" s="7">
        <v>0</v>
      </c>
      <c r="AG9" s="7">
        <v>0</v>
      </c>
      <c r="AH9" s="7">
        <v>0</v>
      </c>
      <c r="AI9" s="48">
        <f t="shared" si="6"/>
        <v>0</v>
      </c>
      <c r="AJ9" s="45">
        <v>0</v>
      </c>
      <c r="AK9" s="7">
        <v>0</v>
      </c>
      <c r="AL9" s="7">
        <v>0</v>
      </c>
      <c r="AM9" s="7">
        <v>0</v>
      </c>
      <c r="AN9" s="7">
        <v>0</v>
      </c>
      <c r="AO9" s="48">
        <f t="shared" si="7"/>
        <v>0</v>
      </c>
      <c r="AP9" s="45">
        <v>0</v>
      </c>
      <c r="AQ9" s="7">
        <v>0</v>
      </c>
      <c r="AR9" s="7">
        <v>0</v>
      </c>
      <c r="AS9" s="7">
        <v>0</v>
      </c>
      <c r="AT9" s="7">
        <v>0</v>
      </c>
      <c r="AU9" s="48">
        <f t="shared" si="8"/>
        <v>0</v>
      </c>
      <c r="AV9" s="45">
        <v>0</v>
      </c>
      <c r="AW9" s="7">
        <v>0</v>
      </c>
      <c r="AX9" s="7">
        <v>0</v>
      </c>
      <c r="AY9" s="7">
        <v>0</v>
      </c>
      <c r="AZ9" s="7">
        <v>0</v>
      </c>
      <c r="BA9" s="48">
        <f t="shared" si="9"/>
        <v>0</v>
      </c>
      <c r="BB9" s="45">
        <v>0</v>
      </c>
      <c r="BC9" s="7">
        <v>0</v>
      </c>
      <c r="BD9" s="7">
        <v>0</v>
      </c>
      <c r="BE9" s="7">
        <v>0</v>
      </c>
      <c r="BF9" s="7">
        <v>0</v>
      </c>
      <c r="BG9" s="48">
        <f t="shared" si="10"/>
        <v>0</v>
      </c>
      <c r="BH9" s="107"/>
      <c r="BI9" s="45"/>
      <c r="BJ9" s="7"/>
      <c r="BK9" s="7"/>
      <c r="BL9" s="7"/>
      <c r="BM9" s="7"/>
      <c r="BN9" s="48">
        <f t="shared" si="11"/>
        <v>0</v>
      </c>
      <c r="BO9" s="45"/>
      <c r="BP9" s="7"/>
      <c r="BQ9" s="7"/>
      <c r="BR9" s="7"/>
      <c r="BS9" s="7"/>
      <c r="BT9" s="48">
        <f t="shared" si="12"/>
        <v>0</v>
      </c>
      <c r="BU9" s="7"/>
      <c r="BV9" s="7"/>
      <c r="BW9" s="7"/>
      <c r="BX9" s="7"/>
      <c r="BY9" s="7"/>
      <c r="BZ9" s="48">
        <f t="shared" si="13"/>
        <v>0</v>
      </c>
      <c r="CA9" s="7"/>
      <c r="CB9" s="7"/>
      <c r="CC9" s="7"/>
      <c r="CD9" s="7"/>
      <c r="CE9" s="7"/>
      <c r="CF9" s="48">
        <f t="shared" si="14"/>
        <v>0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</row>
    <row r="10" spans="1:116" ht="16" x14ac:dyDescent="0.2">
      <c r="A10" s="3" t="s">
        <v>22</v>
      </c>
      <c r="B10" s="3">
        <v>1</v>
      </c>
      <c r="C10" s="21" t="s">
        <v>21</v>
      </c>
      <c r="D10" s="3" t="s">
        <v>9</v>
      </c>
      <c r="E10" s="91">
        <f>_xlfn.XLOOKUP(C10,'[1]9M_CD'!$C:$C,'[1]9M_CD'!$I:$I,"")</f>
        <v>1</v>
      </c>
      <c r="F10" s="3">
        <v>1</v>
      </c>
      <c r="G10" s="97">
        <f t="shared" si="15"/>
        <v>100</v>
      </c>
      <c r="H10" s="30">
        <f t="shared" si="0"/>
        <v>70</v>
      </c>
      <c r="I10" s="33">
        <f t="shared" si="1"/>
        <v>100</v>
      </c>
      <c r="J10" s="33">
        <f t="shared" si="2"/>
        <v>120</v>
      </c>
      <c r="K10" s="57"/>
      <c r="L10" s="44">
        <v>1</v>
      </c>
      <c r="M10" s="5">
        <v>1</v>
      </c>
      <c r="N10" s="5">
        <v>1</v>
      </c>
      <c r="O10" s="5">
        <v>1</v>
      </c>
      <c r="P10" s="5">
        <v>1</v>
      </c>
      <c r="Q10" s="48">
        <f t="shared" si="3"/>
        <v>1</v>
      </c>
      <c r="R10" s="44">
        <v>1</v>
      </c>
      <c r="S10" s="5">
        <v>1</v>
      </c>
      <c r="T10" s="5">
        <v>1</v>
      </c>
      <c r="U10" s="5">
        <v>1</v>
      </c>
      <c r="V10" s="5">
        <v>1</v>
      </c>
      <c r="W10" s="48">
        <f t="shared" si="4"/>
        <v>1</v>
      </c>
      <c r="X10" s="44">
        <v>1</v>
      </c>
      <c r="Y10" s="5">
        <v>1</v>
      </c>
      <c r="Z10" s="5">
        <v>1</v>
      </c>
      <c r="AA10" s="5">
        <v>1</v>
      </c>
      <c r="AB10" s="5">
        <v>1</v>
      </c>
      <c r="AC10" s="48">
        <f t="shared" si="5"/>
        <v>1</v>
      </c>
      <c r="AD10" s="44">
        <v>1</v>
      </c>
      <c r="AE10" s="5">
        <v>1</v>
      </c>
      <c r="AF10" s="5">
        <v>1</v>
      </c>
      <c r="AG10" s="5">
        <v>1</v>
      </c>
      <c r="AH10" s="5">
        <v>1</v>
      </c>
      <c r="AI10" s="48">
        <f t="shared" si="6"/>
        <v>1</v>
      </c>
      <c r="AJ10" s="44">
        <v>1</v>
      </c>
      <c r="AK10" s="5">
        <v>1</v>
      </c>
      <c r="AL10" s="5">
        <v>1</v>
      </c>
      <c r="AM10" s="5">
        <v>1</v>
      </c>
      <c r="AN10" s="5">
        <v>1</v>
      </c>
      <c r="AO10" s="48">
        <f t="shared" si="7"/>
        <v>1</v>
      </c>
      <c r="AP10" s="44">
        <v>1</v>
      </c>
      <c r="AQ10" s="5">
        <v>1</v>
      </c>
      <c r="AR10" s="5">
        <v>1</v>
      </c>
      <c r="AS10" s="5">
        <v>1</v>
      </c>
      <c r="AT10" s="5">
        <v>1</v>
      </c>
      <c r="AU10" s="48">
        <f t="shared" si="8"/>
        <v>1</v>
      </c>
      <c r="AV10" s="44">
        <v>1</v>
      </c>
      <c r="AW10" s="5">
        <v>1</v>
      </c>
      <c r="AX10" s="5">
        <v>1</v>
      </c>
      <c r="AY10" s="5">
        <v>1</v>
      </c>
      <c r="AZ10" s="5">
        <v>1</v>
      </c>
      <c r="BA10" s="48">
        <f t="shared" si="9"/>
        <v>1</v>
      </c>
      <c r="BB10" s="44">
        <v>1</v>
      </c>
      <c r="BC10" s="5">
        <v>1</v>
      </c>
      <c r="BD10" s="5">
        <v>1</v>
      </c>
      <c r="BE10" s="5">
        <v>1</v>
      </c>
      <c r="BF10" s="5">
        <v>1</v>
      </c>
      <c r="BG10" s="48">
        <f t="shared" si="10"/>
        <v>1</v>
      </c>
      <c r="BH10" s="107"/>
      <c r="BI10" s="44"/>
      <c r="BJ10" s="5"/>
      <c r="BK10" s="5"/>
      <c r="BL10" s="5"/>
      <c r="BM10" s="5"/>
      <c r="BN10" s="48">
        <f t="shared" si="11"/>
        <v>0</v>
      </c>
      <c r="BO10" s="44"/>
      <c r="BP10" s="5"/>
      <c r="BQ10" s="5"/>
      <c r="BR10" s="5"/>
      <c r="BS10" s="5"/>
      <c r="BT10" s="48">
        <f t="shared" si="12"/>
        <v>0</v>
      </c>
      <c r="BU10" s="5"/>
      <c r="BV10" s="5"/>
      <c r="BW10" s="5"/>
      <c r="BX10" s="5"/>
      <c r="BY10" s="5"/>
      <c r="BZ10" s="48">
        <f t="shared" si="13"/>
        <v>0</v>
      </c>
      <c r="CA10" s="5"/>
      <c r="CB10" s="5"/>
      <c r="CC10" s="5"/>
      <c r="CD10" s="5"/>
      <c r="CE10" s="5"/>
      <c r="CF10" s="48">
        <f t="shared" si="14"/>
        <v>0</v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</row>
    <row r="11" spans="1:116" ht="16" x14ac:dyDescent="0.2">
      <c r="A11" s="2" t="s">
        <v>24</v>
      </c>
      <c r="B11" s="2">
        <v>1</v>
      </c>
      <c r="C11" s="22" t="s">
        <v>23</v>
      </c>
      <c r="D11" s="2" t="s">
        <v>9</v>
      </c>
      <c r="E11" s="91">
        <f>_xlfn.XLOOKUP(C11,'[1]9M_CD'!$C:$C,'[1]9M_CD'!$I:$I,"")</f>
        <v>1</v>
      </c>
      <c r="F11" s="2">
        <v>1</v>
      </c>
      <c r="G11" s="97">
        <f t="shared" si="15"/>
        <v>53.099999999999994</v>
      </c>
      <c r="H11" s="30">
        <f t="shared" si="0"/>
        <v>23.099999999999998</v>
      </c>
      <c r="I11" s="33">
        <f t="shared" si="1"/>
        <v>33</v>
      </c>
      <c r="J11" s="33">
        <f t="shared" si="2"/>
        <v>33</v>
      </c>
      <c r="K11" s="57"/>
      <c r="L11" s="45">
        <v>1</v>
      </c>
      <c r="M11" s="7">
        <v>1</v>
      </c>
      <c r="N11" s="7">
        <v>1</v>
      </c>
      <c r="O11" s="7">
        <v>1</v>
      </c>
      <c r="P11" s="7">
        <v>1</v>
      </c>
      <c r="Q11" s="48">
        <f t="shared" si="3"/>
        <v>1</v>
      </c>
      <c r="R11" s="45">
        <v>1</v>
      </c>
      <c r="S11" s="7">
        <v>1</v>
      </c>
      <c r="T11" s="7">
        <v>1</v>
      </c>
      <c r="U11" s="7">
        <v>0</v>
      </c>
      <c r="V11" s="7">
        <v>0</v>
      </c>
      <c r="W11" s="48">
        <f t="shared" si="4"/>
        <v>0.6</v>
      </c>
      <c r="X11" s="45">
        <v>0</v>
      </c>
      <c r="Y11" s="7">
        <v>0</v>
      </c>
      <c r="Z11" s="7">
        <v>0</v>
      </c>
      <c r="AA11" s="7">
        <v>0</v>
      </c>
      <c r="AB11" s="7">
        <v>0</v>
      </c>
      <c r="AC11" s="48">
        <f t="shared" si="5"/>
        <v>0</v>
      </c>
      <c r="AD11" s="45">
        <v>1</v>
      </c>
      <c r="AE11" s="7">
        <v>1</v>
      </c>
      <c r="AF11" s="7">
        <v>1</v>
      </c>
      <c r="AG11" s="7">
        <v>1</v>
      </c>
      <c r="AH11" s="7">
        <v>1</v>
      </c>
      <c r="AI11" s="48">
        <f t="shared" si="6"/>
        <v>1</v>
      </c>
      <c r="AJ11" s="45">
        <v>0</v>
      </c>
      <c r="AK11" s="7">
        <v>0</v>
      </c>
      <c r="AL11" s="7">
        <v>0</v>
      </c>
      <c r="AM11" s="7">
        <v>0</v>
      </c>
      <c r="AN11" s="7">
        <v>0</v>
      </c>
      <c r="AO11" s="48">
        <f t="shared" si="7"/>
        <v>0</v>
      </c>
      <c r="AP11" s="45">
        <v>0</v>
      </c>
      <c r="AQ11" s="7">
        <v>0</v>
      </c>
      <c r="AR11" s="7">
        <v>0</v>
      </c>
      <c r="AS11" s="7">
        <v>0</v>
      </c>
      <c r="AT11" s="7">
        <v>0</v>
      </c>
      <c r="AU11" s="48">
        <f t="shared" si="8"/>
        <v>0</v>
      </c>
      <c r="AV11" s="45">
        <v>0</v>
      </c>
      <c r="AW11" s="7">
        <v>0</v>
      </c>
      <c r="AX11" s="7">
        <v>0</v>
      </c>
      <c r="AY11" s="7">
        <v>0</v>
      </c>
      <c r="AZ11" s="7">
        <v>0</v>
      </c>
      <c r="BA11" s="48">
        <f t="shared" si="9"/>
        <v>0</v>
      </c>
      <c r="BB11" s="45">
        <v>0.5</v>
      </c>
      <c r="BC11" s="7">
        <v>0</v>
      </c>
      <c r="BD11" s="7">
        <v>0</v>
      </c>
      <c r="BE11" s="7">
        <v>0</v>
      </c>
      <c r="BF11" s="7">
        <v>0</v>
      </c>
      <c r="BG11" s="48">
        <f t="shared" si="10"/>
        <v>0.1</v>
      </c>
      <c r="BH11" s="107"/>
      <c r="BI11" s="45"/>
      <c r="BJ11" s="7"/>
      <c r="BK11" s="7"/>
      <c r="BL11" s="7"/>
      <c r="BM11" s="7"/>
      <c r="BN11" s="48">
        <f t="shared" si="11"/>
        <v>0</v>
      </c>
      <c r="BO11" s="45"/>
      <c r="BP11" s="7"/>
      <c r="BQ11" s="7"/>
      <c r="BR11" s="7"/>
      <c r="BS11" s="7"/>
      <c r="BT11" s="48">
        <f t="shared" si="12"/>
        <v>0</v>
      </c>
      <c r="BU11" s="7"/>
      <c r="BV11" s="7"/>
      <c r="BW11" s="7"/>
      <c r="BX11" s="7"/>
      <c r="BY11" s="7"/>
      <c r="BZ11" s="48">
        <f t="shared" si="13"/>
        <v>0</v>
      </c>
      <c r="CA11" s="7"/>
      <c r="CB11" s="7"/>
      <c r="CC11" s="7"/>
      <c r="CD11" s="7"/>
      <c r="CE11" s="7"/>
      <c r="CF11" s="48">
        <f t="shared" si="14"/>
        <v>0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</row>
    <row r="12" spans="1:116" ht="16" x14ac:dyDescent="0.2">
      <c r="A12" s="3" t="s">
        <v>26</v>
      </c>
      <c r="B12" s="3">
        <v>1</v>
      </c>
      <c r="C12" s="21" t="s">
        <v>25</v>
      </c>
      <c r="D12" s="3" t="s">
        <v>9</v>
      </c>
      <c r="E12" s="91">
        <f>_xlfn.XLOOKUP(C12,'[1]9M_CD'!$C:$C,'[1]9M_CD'!$I:$I,"")</f>
        <v>1</v>
      </c>
      <c r="F12" s="3">
        <v>1</v>
      </c>
      <c r="G12" s="97">
        <f t="shared" si="15"/>
        <v>100</v>
      </c>
      <c r="H12" s="30">
        <f>I12*0.7</f>
        <v>70</v>
      </c>
      <c r="I12" s="33">
        <f t="shared" si="1"/>
        <v>100</v>
      </c>
      <c r="J12" s="33">
        <f t="shared" si="2"/>
        <v>120</v>
      </c>
      <c r="K12" s="57"/>
      <c r="L12" s="44">
        <v>1</v>
      </c>
      <c r="M12" s="5">
        <v>1</v>
      </c>
      <c r="N12" s="5">
        <v>1</v>
      </c>
      <c r="O12" s="5">
        <v>1</v>
      </c>
      <c r="P12" s="5">
        <v>1</v>
      </c>
      <c r="Q12" s="48">
        <f t="shared" si="3"/>
        <v>1</v>
      </c>
      <c r="R12" s="44">
        <v>1</v>
      </c>
      <c r="S12" s="5">
        <v>1</v>
      </c>
      <c r="T12" s="5">
        <v>1</v>
      </c>
      <c r="U12" s="5">
        <v>1</v>
      </c>
      <c r="V12" s="5">
        <v>1</v>
      </c>
      <c r="W12" s="48">
        <f t="shared" si="4"/>
        <v>1</v>
      </c>
      <c r="X12" s="44">
        <v>1</v>
      </c>
      <c r="Y12" s="5">
        <v>1</v>
      </c>
      <c r="Z12" s="5">
        <v>1</v>
      </c>
      <c r="AA12" s="5">
        <v>1</v>
      </c>
      <c r="AB12" s="5">
        <v>1</v>
      </c>
      <c r="AC12" s="48">
        <f t="shared" si="5"/>
        <v>1</v>
      </c>
      <c r="AD12" s="44">
        <v>1</v>
      </c>
      <c r="AE12" s="5">
        <v>1</v>
      </c>
      <c r="AF12" s="5">
        <v>1</v>
      </c>
      <c r="AG12" s="5">
        <v>1</v>
      </c>
      <c r="AH12" s="5">
        <v>1</v>
      </c>
      <c r="AI12" s="48">
        <f t="shared" si="6"/>
        <v>1</v>
      </c>
      <c r="AJ12" s="44">
        <v>1</v>
      </c>
      <c r="AK12" s="5">
        <v>1</v>
      </c>
      <c r="AL12" s="5">
        <v>1</v>
      </c>
      <c r="AM12" s="5">
        <v>1</v>
      </c>
      <c r="AN12" s="5">
        <v>1</v>
      </c>
      <c r="AO12" s="48">
        <f t="shared" si="7"/>
        <v>1</v>
      </c>
      <c r="AP12" s="44">
        <v>1</v>
      </c>
      <c r="AQ12" s="5">
        <v>1</v>
      </c>
      <c r="AR12" s="5">
        <v>1</v>
      </c>
      <c r="AS12" s="5">
        <v>1</v>
      </c>
      <c r="AT12" s="5">
        <v>1</v>
      </c>
      <c r="AU12" s="48">
        <f t="shared" si="8"/>
        <v>1</v>
      </c>
      <c r="AV12" s="44">
        <v>1</v>
      </c>
      <c r="AW12" s="5">
        <v>1</v>
      </c>
      <c r="AX12" s="5">
        <v>1</v>
      </c>
      <c r="AY12" s="5">
        <v>1</v>
      </c>
      <c r="AZ12" s="5">
        <v>1</v>
      </c>
      <c r="BA12" s="48">
        <f t="shared" si="9"/>
        <v>1</v>
      </c>
      <c r="BB12" s="44">
        <v>1</v>
      </c>
      <c r="BC12" s="5">
        <v>1</v>
      </c>
      <c r="BD12" s="5">
        <v>1</v>
      </c>
      <c r="BE12" s="5">
        <v>1</v>
      </c>
      <c r="BF12" s="5">
        <v>1</v>
      </c>
      <c r="BG12" s="48">
        <f t="shared" si="10"/>
        <v>1</v>
      </c>
      <c r="BH12" s="107"/>
      <c r="BI12" s="44"/>
      <c r="BJ12" s="5"/>
      <c r="BK12" s="5"/>
      <c r="BL12" s="5"/>
      <c r="BM12" s="5"/>
      <c r="BN12" s="48">
        <f t="shared" si="11"/>
        <v>0</v>
      </c>
      <c r="BO12" s="44"/>
      <c r="BP12" s="5"/>
      <c r="BQ12" s="5"/>
      <c r="BR12" s="5"/>
      <c r="BS12" s="5"/>
      <c r="BT12" s="48">
        <f t="shared" si="12"/>
        <v>0</v>
      </c>
      <c r="BU12" s="5"/>
      <c r="BV12" s="5"/>
      <c r="BW12" s="5"/>
      <c r="BX12" s="5"/>
      <c r="BY12" s="5"/>
      <c r="BZ12" s="48">
        <f t="shared" si="13"/>
        <v>0</v>
      </c>
      <c r="CA12" s="5"/>
      <c r="CB12" s="5"/>
      <c r="CC12" s="5"/>
      <c r="CD12" s="5"/>
      <c r="CE12" s="5"/>
      <c r="CF12" s="48">
        <f t="shared" si="14"/>
        <v>0</v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</row>
    <row r="13" spans="1:116" ht="16" x14ac:dyDescent="0.2">
      <c r="A13" s="2" t="s">
        <v>28</v>
      </c>
      <c r="B13" s="2">
        <v>1</v>
      </c>
      <c r="C13" s="22" t="s">
        <v>27</v>
      </c>
      <c r="D13" s="2" t="s">
        <v>9</v>
      </c>
      <c r="E13" s="91">
        <f>_xlfn.XLOOKUP(C13,'[1]9M_CD'!$C:$C,'[1]9M_CD'!$I:$I,"")</f>
        <v>0.8</v>
      </c>
      <c r="F13" s="2">
        <v>1</v>
      </c>
      <c r="G13" s="97">
        <f t="shared" si="15"/>
        <v>28</v>
      </c>
      <c r="H13" s="30">
        <f t="shared" ref="H13:H18" si="16">I13*0.7</f>
        <v>0</v>
      </c>
      <c r="I13" s="33">
        <f t="shared" si="1"/>
        <v>0</v>
      </c>
      <c r="J13" s="33">
        <f t="shared" si="2"/>
        <v>0</v>
      </c>
      <c r="K13" s="57"/>
      <c r="L13" s="45">
        <v>0</v>
      </c>
      <c r="M13" s="7">
        <v>0</v>
      </c>
      <c r="N13" s="7">
        <v>0</v>
      </c>
      <c r="O13" s="7">
        <v>0</v>
      </c>
      <c r="P13" s="7">
        <v>0</v>
      </c>
      <c r="Q13" s="48">
        <f t="shared" si="3"/>
        <v>0</v>
      </c>
      <c r="R13" s="45">
        <v>0</v>
      </c>
      <c r="S13" s="7">
        <v>0</v>
      </c>
      <c r="T13" s="7">
        <v>0</v>
      </c>
      <c r="U13" s="7">
        <v>0</v>
      </c>
      <c r="V13" s="7">
        <v>0</v>
      </c>
      <c r="W13" s="48">
        <f t="shared" si="4"/>
        <v>0</v>
      </c>
      <c r="X13" s="45">
        <v>0</v>
      </c>
      <c r="Y13" s="7">
        <v>0</v>
      </c>
      <c r="Z13" s="7">
        <v>0</v>
      </c>
      <c r="AA13" s="7">
        <v>0</v>
      </c>
      <c r="AB13" s="7">
        <v>0</v>
      </c>
      <c r="AC13" s="48">
        <f t="shared" si="5"/>
        <v>0</v>
      </c>
      <c r="AD13" s="45">
        <v>0</v>
      </c>
      <c r="AE13" s="7">
        <v>0</v>
      </c>
      <c r="AF13" s="7">
        <v>0</v>
      </c>
      <c r="AG13" s="7">
        <v>0</v>
      </c>
      <c r="AH13" s="7">
        <v>0</v>
      </c>
      <c r="AI13" s="48">
        <f t="shared" si="6"/>
        <v>0</v>
      </c>
      <c r="AJ13" s="45">
        <v>0</v>
      </c>
      <c r="AK13" s="7">
        <v>0</v>
      </c>
      <c r="AL13" s="7">
        <v>0</v>
      </c>
      <c r="AM13" s="7">
        <v>0</v>
      </c>
      <c r="AN13" s="7">
        <v>0</v>
      </c>
      <c r="AO13" s="48">
        <f t="shared" si="7"/>
        <v>0</v>
      </c>
      <c r="AP13" s="45">
        <v>0</v>
      </c>
      <c r="AQ13" s="7">
        <v>0</v>
      </c>
      <c r="AR13" s="7">
        <v>0</v>
      </c>
      <c r="AS13" s="7">
        <v>0</v>
      </c>
      <c r="AT13" s="7">
        <v>0</v>
      </c>
      <c r="AU13" s="48">
        <f t="shared" si="8"/>
        <v>0</v>
      </c>
      <c r="AV13" s="45">
        <v>0</v>
      </c>
      <c r="AW13" s="7">
        <v>0</v>
      </c>
      <c r="AX13" s="7">
        <v>0</v>
      </c>
      <c r="AY13" s="7">
        <v>0</v>
      </c>
      <c r="AZ13" s="7">
        <v>0</v>
      </c>
      <c r="BA13" s="48">
        <f t="shared" si="9"/>
        <v>0</v>
      </c>
      <c r="BB13" s="45">
        <v>0</v>
      </c>
      <c r="BC13" s="7">
        <v>0</v>
      </c>
      <c r="BD13" s="7">
        <v>0</v>
      </c>
      <c r="BE13" s="7">
        <v>0</v>
      </c>
      <c r="BF13" s="7">
        <v>0</v>
      </c>
      <c r="BG13" s="48">
        <f t="shared" si="10"/>
        <v>0</v>
      </c>
      <c r="BH13" s="107"/>
      <c r="BI13" s="45"/>
      <c r="BJ13" s="7"/>
      <c r="BK13" s="7"/>
      <c r="BL13" s="7"/>
      <c r="BM13" s="7"/>
      <c r="BN13" s="48">
        <f t="shared" si="11"/>
        <v>0</v>
      </c>
      <c r="BO13" s="45"/>
      <c r="BP13" s="7"/>
      <c r="BQ13" s="7"/>
      <c r="BR13" s="7"/>
      <c r="BS13" s="7"/>
      <c r="BT13" s="48">
        <f t="shared" si="12"/>
        <v>0</v>
      </c>
      <c r="BU13" s="7"/>
      <c r="BV13" s="7"/>
      <c r="BW13" s="7"/>
      <c r="BX13" s="7"/>
      <c r="BY13" s="7"/>
      <c r="BZ13" s="48">
        <f t="shared" si="13"/>
        <v>0</v>
      </c>
      <c r="CA13" s="7"/>
      <c r="CB13" s="7"/>
      <c r="CC13" s="7"/>
      <c r="CD13" s="7"/>
      <c r="CE13" s="7"/>
      <c r="CF13" s="48">
        <f t="shared" si="14"/>
        <v>0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</row>
    <row r="14" spans="1:116" ht="16" x14ac:dyDescent="0.2">
      <c r="A14" s="3" t="s">
        <v>30</v>
      </c>
      <c r="B14" s="3">
        <v>1</v>
      </c>
      <c r="C14" s="21" t="s">
        <v>29</v>
      </c>
      <c r="D14" s="3" t="s">
        <v>9</v>
      </c>
      <c r="E14" s="91">
        <f>_xlfn.XLOOKUP(C14,'[1]9M_CD'!$C:$C,'[1]9M_CD'!$I:$I,"")</f>
        <v>1</v>
      </c>
      <c r="F14" s="3">
        <v>1</v>
      </c>
      <c r="G14" s="97">
        <f t="shared" si="15"/>
        <v>79</v>
      </c>
      <c r="H14" s="30">
        <f t="shared" si="16"/>
        <v>49</v>
      </c>
      <c r="I14" s="33">
        <f t="shared" si="1"/>
        <v>70</v>
      </c>
      <c r="J14" s="33">
        <f t="shared" si="2"/>
        <v>70</v>
      </c>
      <c r="K14" s="57"/>
      <c r="L14" s="44">
        <v>0.5</v>
      </c>
      <c r="M14" s="5">
        <v>0.5</v>
      </c>
      <c r="N14" s="5">
        <v>0.5</v>
      </c>
      <c r="O14" s="5">
        <v>0.5</v>
      </c>
      <c r="P14" s="5">
        <v>0.5</v>
      </c>
      <c r="Q14" s="48">
        <f t="shared" si="3"/>
        <v>0.5</v>
      </c>
      <c r="R14" s="44">
        <v>1</v>
      </c>
      <c r="S14" s="5">
        <v>1</v>
      </c>
      <c r="T14" s="5">
        <v>1</v>
      </c>
      <c r="U14" s="5">
        <v>1</v>
      </c>
      <c r="V14" s="5">
        <v>0</v>
      </c>
      <c r="W14" s="48">
        <f t="shared" si="4"/>
        <v>0.8</v>
      </c>
      <c r="X14" s="44">
        <v>1</v>
      </c>
      <c r="Y14" s="5">
        <v>1</v>
      </c>
      <c r="Z14" s="5">
        <v>1</v>
      </c>
      <c r="AA14" s="5">
        <v>1</v>
      </c>
      <c r="AB14" s="5">
        <v>1</v>
      </c>
      <c r="AC14" s="48">
        <f t="shared" si="5"/>
        <v>1</v>
      </c>
      <c r="AD14" s="44">
        <v>0</v>
      </c>
      <c r="AE14" s="5">
        <v>0</v>
      </c>
      <c r="AF14" s="5">
        <v>0</v>
      </c>
      <c r="AG14" s="5">
        <v>0</v>
      </c>
      <c r="AH14" s="5">
        <v>0</v>
      </c>
      <c r="AI14" s="48">
        <f t="shared" si="6"/>
        <v>0</v>
      </c>
      <c r="AJ14" s="44">
        <v>0.5</v>
      </c>
      <c r="AK14" s="5">
        <v>0.5</v>
      </c>
      <c r="AL14" s="5">
        <v>0.5</v>
      </c>
      <c r="AM14" s="5">
        <v>0.5</v>
      </c>
      <c r="AN14" s="5">
        <v>0.5</v>
      </c>
      <c r="AO14" s="48">
        <f t="shared" si="7"/>
        <v>0.5</v>
      </c>
      <c r="AP14" s="44">
        <v>0.5</v>
      </c>
      <c r="AQ14" s="5">
        <v>0.5</v>
      </c>
      <c r="AR14" s="5">
        <v>0.5</v>
      </c>
      <c r="AS14" s="5">
        <v>0.5</v>
      </c>
      <c r="AT14" s="5">
        <v>0.5</v>
      </c>
      <c r="AU14" s="48">
        <f t="shared" si="8"/>
        <v>0.5</v>
      </c>
      <c r="AV14" s="44">
        <v>0.75</v>
      </c>
      <c r="AW14" s="5">
        <v>1</v>
      </c>
      <c r="AX14" s="5">
        <v>0</v>
      </c>
      <c r="AY14" s="5">
        <v>0</v>
      </c>
      <c r="AZ14" s="5">
        <v>0</v>
      </c>
      <c r="BA14" s="48">
        <f t="shared" si="9"/>
        <v>0.35</v>
      </c>
      <c r="BB14" s="44">
        <v>1</v>
      </c>
      <c r="BC14" s="5">
        <v>1</v>
      </c>
      <c r="BD14" s="5">
        <v>1</v>
      </c>
      <c r="BE14" s="5">
        <v>1</v>
      </c>
      <c r="BF14" s="5">
        <v>1</v>
      </c>
      <c r="BG14" s="48">
        <f t="shared" si="10"/>
        <v>1</v>
      </c>
      <c r="BH14" s="107"/>
      <c r="BI14" s="44"/>
      <c r="BJ14" s="5"/>
      <c r="BK14" s="5"/>
      <c r="BL14" s="5"/>
      <c r="BM14" s="5"/>
      <c r="BN14" s="48">
        <f t="shared" si="11"/>
        <v>0</v>
      </c>
      <c r="BO14" s="44"/>
      <c r="BP14" s="5"/>
      <c r="BQ14" s="5"/>
      <c r="BR14" s="5"/>
      <c r="BS14" s="5"/>
      <c r="BT14" s="48">
        <f t="shared" si="12"/>
        <v>0</v>
      </c>
      <c r="BU14" s="5"/>
      <c r="BV14" s="5"/>
      <c r="BW14" s="5"/>
      <c r="BX14" s="5"/>
      <c r="BY14" s="5"/>
      <c r="BZ14" s="48">
        <f t="shared" si="13"/>
        <v>0</v>
      </c>
      <c r="CA14" s="5"/>
      <c r="CB14" s="5"/>
      <c r="CC14" s="5"/>
      <c r="CD14" s="5"/>
      <c r="CE14" s="5"/>
      <c r="CF14" s="48">
        <f t="shared" si="14"/>
        <v>0</v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</row>
    <row r="15" spans="1:116" ht="16" x14ac:dyDescent="0.2">
      <c r="A15" s="2" t="s">
        <v>32</v>
      </c>
      <c r="B15" s="2">
        <v>1</v>
      </c>
      <c r="C15" s="22" t="s">
        <v>31</v>
      </c>
      <c r="D15" s="2" t="s">
        <v>9</v>
      </c>
      <c r="E15" s="91">
        <f>_xlfn.XLOOKUP(C15,'[1]9M_CD'!$C:$C,'[1]9M_CD'!$I:$I,"")</f>
        <v>0.93333333333333335</v>
      </c>
      <c r="F15" s="2">
        <v>1</v>
      </c>
      <c r="G15" s="97">
        <f t="shared" si="15"/>
        <v>77.633333333333326</v>
      </c>
      <c r="H15" s="30">
        <f t="shared" si="16"/>
        <v>48.3</v>
      </c>
      <c r="I15" s="33">
        <f t="shared" si="1"/>
        <v>69</v>
      </c>
      <c r="J15" s="33">
        <f t="shared" si="2"/>
        <v>69</v>
      </c>
      <c r="K15" s="57"/>
      <c r="L15" s="45">
        <v>1</v>
      </c>
      <c r="M15" s="7">
        <v>1</v>
      </c>
      <c r="N15" s="7">
        <v>1</v>
      </c>
      <c r="O15" s="7">
        <v>1</v>
      </c>
      <c r="P15" s="7">
        <v>1</v>
      </c>
      <c r="Q15" s="48">
        <f t="shared" si="3"/>
        <v>1</v>
      </c>
      <c r="R15" s="45">
        <v>1</v>
      </c>
      <c r="S15" s="7">
        <v>1</v>
      </c>
      <c r="T15" s="7">
        <v>1</v>
      </c>
      <c r="U15" s="7">
        <v>1</v>
      </c>
      <c r="V15" s="7">
        <v>1</v>
      </c>
      <c r="W15" s="48">
        <f t="shared" si="4"/>
        <v>1</v>
      </c>
      <c r="X15" s="45">
        <v>1</v>
      </c>
      <c r="Y15" s="7">
        <v>1</v>
      </c>
      <c r="Z15" s="7">
        <v>1</v>
      </c>
      <c r="AA15" s="7">
        <v>1</v>
      </c>
      <c r="AB15" s="7">
        <v>1</v>
      </c>
      <c r="AC15" s="48">
        <f t="shared" si="5"/>
        <v>1</v>
      </c>
      <c r="AD15" s="45">
        <v>1</v>
      </c>
      <c r="AE15" s="7">
        <v>1</v>
      </c>
      <c r="AF15" s="7">
        <v>1</v>
      </c>
      <c r="AG15" s="7">
        <v>1</v>
      </c>
      <c r="AH15" s="7">
        <v>1</v>
      </c>
      <c r="AI15" s="48">
        <f t="shared" si="6"/>
        <v>1</v>
      </c>
      <c r="AJ15" s="45">
        <v>1</v>
      </c>
      <c r="AK15" s="7">
        <v>1</v>
      </c>
      <c r="AL15" s="7">
        <v>1</v>
      </c>
      <c r="AM15" s="7">
        <v>1</v>
      </c>
      <c r="AN15" s="7">
        <v>1</v>
      </c>
      <c r="AO15" s="48">
        <f t="shared" si="7"/>
        <v>1</v>
      </c>
      <c r="AP15" s="45">
        <v>0</v>
      </c>
      <c r="AQ15" s="7">
        <v>0</v>
      </c>
      <c r="AR15" s="7">
        <v>0</v>
      </c>
      <c r="AS15" s="7">
        <v>0</v>
      </c>
      <c r="AT15" s="7">
        <v>0</v>
      </c>
      <c r="AU15" s="48">
        <f t="shared" si="8"/>
        <v>0</v>
      </c>
      <c r="AV15" s="45">
        <v>0.5</v>
      </c>
      <c r="AW15" s="7">
        <v>0.5</v>
      </c>
      <c r="AX15" s="7">
        <v>0</v>
      </c>
      <c r="AY15" s="7">
        <v>0</v>
      </c>
      <c r="AZ15" s="7">
        <v>0</v>
      </c>
      <c r="BA15" s="48">
        <f t="shared" si="9"/>
        <v>0.2</v>
      </c>
      <c r="BB15" s="45">
        <v>0</v>
      </c>
      <c r="BC15" s="7">
        <v>0</v>
      </c>
      <c r="BD15" s="7">
        <v>0</v>
      </c>
      <c r="BE15" s="7">
        <v>0</v>
      </c>
      <c r="BF15" s="7">
        <v>0</v>
      </c>
      <c r="BG15" s="48">
        <f t="shared" si="10"/>
        <v>0</v>
      </c>
      <c r="BH15" s="107"/>
      <c r="BI15" s="45"/>
      <c r="BJ15" s="7"/>
      <c r="BK15" s="7"/>
      <c r="BL15" s="7"/>
      <c r="BM15" s="7"/>
      <c r="BN15" s="48">
        <f t="shared" si="11"/>
        <v>0</v>
      </c>
      <c r="BO15" s="45"/>
      <c r="BP15" s="7"/>
      <c r="BQ15" s="7"/>
      <c r="BR15" s="7"/>
      <c r="BS15" s="7"/>
      <c r="BT15" s="48">
        <f t="shared" si="12"/>
        <v>0</v>
      </c>
      <c r="BU15" s="7"/>
      <c r="BV15" s="7"/>
      <c r="BW15" s="7"/>
      <c r="BX15" s="7"/>
      <c r="BY15" s="7"/>
      <c r="BZ15" s="48">
        <f t="shared" si="13"/>
        <v>0</v>
      </c>
      <c r="CA15" s="7"/>
      <c r="CB15" s="7"/>
      <c r="CC15" s="7"/>
      <c r="CD15" s="7"/>
      <c r="CE15" s="7"/>
      <c r="CF15" s="48">
        <f t="shared" si="14"/>
        <v>0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</row>
    <row r="16" spans="1:116" ht="16" x14ac:dyDescent="0.2">
      <c r="A16" s="3" t="s">
        <v>34</v>
      </c>
      <c r="B16" s="3">
        <v>1</v>
      </c>
      <c r="C16" s="21" t="s">
        <v>33</v>
      </c>
      <c r="D16" s="3" t="s">
        <v>9</v>
      </c>
      <c r="E16" s="91">
        <f>_xlfn.XLOOKUP(C16,'[1]9M_CD'!$C:$C,'[1]9M_CD'!$I:$I,"")</f>
        <v>1</v>
      </c>
      <c r="F16" s="3">
        <v>1</v>
      </c>
      <c r="G16" s="97">
        <f t="shared" si="15"/>
        <v>63.04</v>
      </c>
      <c r="H16" s="30">
        <f t="shared" si="16"/>
        <v>33.04</v>
      </c>
      <c r="I16" s="33">
        <f t="shared" si="1"/>
        <v>47.2</v>
      </c>
      <c r="J16" s="33">
        <f t="shared" si="2"/>
        <v>47.2</v>
      </c>
      <c r="K16" s="57"/>
      <c r="L16" s="44">
        <v>0.8</v>
      </c>
      <c r="M16" s="5">
        <v>0.8</v>
      </c>
      <c r="N16" s="5">
        <v>0</v>
      </c>
      <c r="O16" s="5">
        <v>0</v>
      </c>
      <c r="P16" s="5">
        <v>0</v>
      </c>
      <c r="Q16" s="48">
        <f t="shared" si="3"/>
        <v>0.32</v>
      </c>
      <c r="R16" s="44">
        <v>0.5</v>
      </c>
      <c r="S16" s="5">
        <v>0.5</v>
      </c>
      <c r="T16" s="5">
        <v>0</v>
      </c>
      <c r="U16" s="5">
        <v>0</v>
      </c>
      <c r="V16" s="5">
        <v>0</v>
      </c>
      <c r="W16" s="48">
        <f t="shared" si="4"/>
        <v>0.2</v>
      </c>
      <c r="X16" s="44">
        <v>0</v>
      </c>
      <c r="Y16" s="5">
        <v>0</v>
      </c>
      <c r="Z16" s="5">
        <v>0</v>
      </c>
      <c r="AA16" s="5">
        <v>0</v>
      </c>
      <c r="AB16" s="5">
        <v>0</v>
      </c>
      <c r="AC16" s="48">
        <f t="shared" si="5"/>
        <v>0</v>
      </c>
      <c r="AD16" s="44">
        <v>0</v>
      </c>
      <c r="AE16" s="5">
        <v>0</v>
      </c>
      <c r="AF16" s="5">
        <v>0</v>
      </c>
      <c r="AG16" s="5">
        <v>0</v>
      </c>
      <c r="AH16" s="5">
        <v>0</v>
      </c>
      <c r="AI16" s="48">
        <f t="shared" si="6"/>
        <v>0</v>
      </c>
      <c r="AJ16" s="44">
        <v>1</v>
      </c>
      <c r="AK16" s="5">
        <v>1</v>
      </c>
      <c r="AL16" s="5">
        <v>1</v>
      </c>
      <c r="AM16" s="5">
        <v>1</v>
      </c>
      <c r="AN16" s="5">
        <v>1</v>
      </c>
      <c r="AO16" s="48">
        <f t="shared" si="7"/>
        <v>1</v>
      </c>
      <c r="AP16" s="44">
        <v>1</v>
      </c>
      <c r="AQ16" s="5">
        <v>1</v>
      </c>
      <c r="AR16" s="5">
        <v>1</v>
      </c>
      <c r="AS16" s="5">
        <v>1</v>
      </c>
      <c r="AT16" s="5">
        <v>1</v>
      </c>
      <c r="AU16" s="48">
        <f t="shared" si="8"/>
        <v>1</v>
      </c>
      <c r="AV16" s="44">
        <v>1</v>
      </c>
      <c r="AW16" s="5">
        <v>1</v>
      </c>
      <c r="AX16" s="5">
        <v>1</v>
      </c>
      <c r="AY16" s="5">
        <v>0</v>
      </c>
      <c r="AZ16" s="5">
        <v>0</v>
      </c>
      <c r="BA16" s="48">
        <f t="shared" si="9"/>
        <v>0.6</v>
      </c>
      <c r="BB16" s="44">
        <v>0</v>
      </c>
      <c r="BC16" s="5">
        <v>0</v>
      </c>
      <c r="BD16" s="5">
        <v>0</v>
      </c>
      <c r="BE16" s="5">
        <v>0</v>
      </c>
      <c r="BF16" s="5">
        <v>0</v>
      </c>
      <c r="BG16" s="48">
        <f t="shared" si="10"/>
        <v>0</v>
      </c>
      <c r="BH16" s="107"/>
      <c r="BI16" s="44"/>
      <c r="BJ16" s="5"/>
      <c r="BK16" s="5"/>
      <c r="BL16" s="5"/>
      <c r="BM16" s="5"/>
      <c r="BN16" s="48">
        <f t="shared" si="11"/>
        <v>0</v>
      </c>
      <c r="BO16" s="44"/>
      <c r="BP16" s="5"/>
      <c r="BQ16" s="5"/>
      <c r="BR16" s="5"/>
      <c r="BS16" s="5"/>
      <c r="BT16" s="48">
        <f t="shared" si="12"/>
        <v>0</v>
      </c>
      <c r="BU16" s="5"/>
      <c r="BV16" s="5"/>
      <c r="BW16" s="5"/>
      <c r="BX16" s="5"/>
      <c r="BY16" s="5"/>
      <c r="BZ16" s="48">
        <f t="shared" si="13"/>
        <v>0</v>
      </c>
      <c r="CA16" s="5"/>
      <c r="CB16" s="5"/>
      <c r="CC16" s="5"/>
      <c r="CD16" s="5"/>
      <c r="CE16" s="5"/>
      <c r="CF16" s="48">
        <f t="shared" si="14"/>
        <v>0</v>
      </c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</row>
    <row r="17" spans="1:116" ht="16" x14ac:dyDescent="0.2">
      <c r="A17" s="2" t="s">
        <v>36</v>
      </c>
      <c r="B17" s="2">
        <v>1</v>
      </c>
      <c r="C17" s="22" t="s">
        <v>35</v>
      </c>
      <c r="D17" s="2" t="s">
        <v>9</v>
      </c>
      <c r="E17" s="91">
        <f>_xlfn.XLOOKUP(C17,'[1]9M_CD'!$C:$C,'[1]9M_CD'!$I:$I,"")</f>
        <v>1</v>
      </c>
      <c r="F17" s="2">
        <v>1</v>
      </c>
      <c r="G17" s="97">
        <f t="shared" si="15"/>
        <v>60.974999999999994</v>
      </c>
      <c r="H17" s="30">
        <f t="shared" si="16"/>
        <v>30.974999999999998</v>
      </c>
      <c r="I17" s="33">
        <f t="shared" si="1"/>
        <v>44.25</v>
      </c>
      <c r="J17" s="33">
        <f t="shared" si="2"/>
        <v>44.25</v>
      </c>
      <c r="K17" s="57"/>
      <c r="L17" s="45">
        <v>0</v>
      </c>
      <c r="M17" s="7">
        <v>0</v>
      </c>
      <c r="N17" s="7">
        <v>0</v>
      </c>
      <c r="O17" s="7">
        <v>0</v>
      </c>
      <c r="P17" s="7">
        <v>0</v>
      </c>
      <c r="Q17" s="48">
        <f t="shared" si="3"/>
        <v>0</v>
      </c>
      <c r="R17" s="45">
        <v>0</v>
      </c>
      <c r="S17" s="7">
        <v>0</v>
      </c>
      <c r="T17" s="7">
        <v>0</v>
      </c>
      <c r="U17" s="7">
        <v>0</v>
      </c>
      <c r="V17" s="7">
        <v>0</v>
      </c>
      <c r="W17" s="48">
        <f t="shared" si="4"/>
        <v>0</v>
      </c>
      <c r="X17" s="45">
        <v>1</v>
      </c>
      <c r="Y17" s="7">
        <v>0.75</v>
      </c>
      <c r="Z17" s="7">
        <v>0.75</v>
      </c>
      <c r="AA17" s="7">
        <v>0.75</v>
      </c>
      <c r="AB17" s="7">
        <v>0.75</v>
      </c>
      <c r="AC17" s="48">
        <f t="shared" si="5"/>
        <v>0.8</v>
      </c>
      <c r="AD17" s="45">
        <v>0.5</v>
      </c>
      <c r="AE17" s="7">
        <v>0</v>
      </c>
      <c r="AF17" s="7">
        <v>0</v>
      </c>
      <c r="AG17" s="7">
        <v>0</v>
      </c>
      <c r="AH17" s="7">
        <v>0</v>
      </c>
      <c r="AI17" s="48">
        <f t="shared" si="6"/>
        <v>0.1</v>
      </c>
      <c r="AJ17" s="45">
        <v>0.5</v>
      </c>
      <c r="AK17" s="7">
        <v>1</v>
      </c>
      <c r="AL17" s="7">
        <v>0.75</v>
      </c>
      <c r="AM17" s="7">
        <v>0</v>
      </c>
      <c r="AN17" s="7">
        <v>0</v>
      </c>
      <c r="AO17" s="48">
        <f t="shared" si="7"/>
        <v>0.45</v>
      </c>
      <c r="AP17" s="45">
        <v>0</v>
      </c>
      <c r="AQ17" s="7">
        <v>0</v>
      </c>
      <c r="AR17" s="7">
        <v>0</v>
      </c>
      <c r="AS17" s="7">
        <v>0</v>
      </c>
      <c r="AT17" s="7">
        <v>0</v>
      </c>
      <c r="AU17" s="48">
        <f t="shared" si="8"/>
        <v>0</v>
      </c>
      <c r="AV17" s="45">
        <v>1</v>
      </c>
      <c r="AW17" s="7">
        <v>1</v>
      </c>
      <c r="AX17" s="7">
        <v>1</v>
      </c>
      <c r="AY17" s="7">
        <v>1</v>
      </c>
      <c r="AZ17" s="7">
        <v>1</v>
      </c>
      <c r="BA17" s="48">
        <f t="shared" si="9"/>
        <v>1</v>
      </c>
      <c r="BB17" s="45">
        <v>0.5</v>
      </c>
      <c r="BC17" s="7">
        <v>0.5</v>
      </c>
      <c r="BD17" s="7">
        <v>0</v>
      </c>
      <c r="BE17" s="7">
        <v>0</v>
      </c>
      <c r="BF17" s="7">
        <v>0</v>
      </c>
      <c r="BG17" s="48">
        <f t="shared" si="10"/>
        <v>0.2</v>
      </c>
      <c r="BH17" s="107"/>
      <c r="BI17" s="45"/>
      <c r="BJ17" s="7"/>
      <c r="BK17" s="7"/>
      <c r="BL17" s="7"/>
      <c r="BM17" s="7"/>
      <c r="BN17" s="48">
        <f>SUM(BI17:BM17)/5*15</f>
        <v>0</v>
      </c>
      <c r="BO17" s="45"/>
      <c r="BP17" s="7"/>
      <c r="BQ17" s="7"/>
      <c r="BR17" s="7"/>
      <c r="BS17" s="7"/>
      <c r="BT17" s="48">
        <f t="shared" si="12"/>
        <v>0</v>
      </c>
      <c r="BU17" s="7"/>
      <c r="BV17" s="7"/>
      <c r="BW17" s="7"/>
      <c r="BX17" s="7"/>
      <c r="BY17" s="7"/>
      <c r="BZ17" s="48">
        <f t="shared" si="13"/>
        <v>0</v>
      </c>
      <c r="CA17" s="7"/>
      <c r="CB17" s="7"/>
      <c r="CC17" s="7"/>
      <c r="CD17" s="7"/>
      <c r="CE17" s="7"/>
      <c r="CF17" s="48">
        <f t="shared" si="14"/>
        <v>0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</row>
    <row r="18" spans="1:116" ht="16" x14ac:dyDescent="0.2">
      <c r="A18" s="3" t="s">
        <v>38</v>
      </c>
      <c r="B18" s="3">
        <v>1</v>
      </c>
      <c r="C18" s="21" t="s">
        <v>37</v>
      </c>
      <c r="D18" s="3" t="s">
        <v>9</v>
      </c>
      <c r="E18" s="91">
        <f>_xlfn.XLOOKUP(C18,'[1]9M_CD'!$C:$C,'[1]9M_CD'!$I:$I,"")</f>
        <v>1</v>
      </c>
      <c r="F18" s="3">
        <v>1</v>
      </c>
      <c r="G18" s="97">
        <f t="shared" si="15"/>
        <v>100</v>
      </c>
      <c r="H18" s="30">
        <f t="shared" si="16"/>
        <v>70</v>
      </c>
      <c r="I18" s="33">
        <f>IF(J18&gt;=100,100,J18)</f>
        <v>100</v>
      </c>
      <c r="J18" s="33">
        <f t="shared" si="2"/>
        <v>112</v>
      </c>
      <c r="K18" s="57"/>
      <c r="L18" s="44">
        <v>1</v>
      </c>
      <c r="M18" s="5">
        <v>1</v>
      </c>
      <c r="N18" s="5">
        <v>1</v>
      </c>
      <c r="O18" s="5">
        <v>1</v>
      </c>
      <c r="P18" s="5">
        <v>1</v>
      </c>
      <c r="Q18" s="48">
        <f t="shared" si="3"/>
        <v>1</v>
      </c>
      <c r="R18" s="44">
        <v>1</v>
      </c>
      <c r="S18" s="5">
        <v>1</v>
      </c>
      <c r="T18" s="5">
        <v>1</v>
      </c>
      <c r="U18" s="5">
        <v>1</v>
      </c>
      <c r="V18" s="5">
        <v>1</v>
      </c>
      <c r="W18" s="48">
        <f t="shared" si="4"/>
        <v>1</v>
      </c>
      <c r="X18" s="44">
        <v>1</v>
      </c>
      <c r="Y18" s="5">
        <v>1</v>
      </c>
      <c r="Z18" s="5">
        <v>1</v>
      </c>
      <c r="AA18" s="5">
        <v>1</v>
      </c>
      <c r="AB18" s="5">
        <v>1</v>
      </c>
      <c r="AC18" s="48">
        <f t="shared" si="5"/>
        <v>1</v>
      </c>
      <c r="AD18" s="44">
        <v>1</v>
      </c>
      <c r="AE18" s="5">
        <v>1</v>
      </c>
      <c r="AF18" s="5">
        <v>1</v>
      </c>
      <c r="AG18" s="5">
        <v>1</v>
      </c>
      <c r="AH18" s="5">
        <v>1</v>
      </c>
      <c r="AI18" s="48">
        <f t="shared" si="6"/>
        <v>1</v>
      </c>
      <c r="AJ18" s="44">
        <v>1</v>
      </c>
      <c r="AK18" s="5">
        <v>1</v>
      </c>
      <c r="AL18" s="5">
        <v>1</v>
      </c>
      <c r="AM18" s="5">
        <v>1</v>
      </c>
      <c r="AN18" s="5">
        <v>1</v>
      </c>
      <c r="AO18" s="48">
        <f t="shared" si="7"/>
        <v>1</v>
      </c>
      <c r="AP18" s="44">
        <v>1</v>
      </c>
      <c r="AQ18" s="5">
        <v>1</v>
      </c>
      <c r="AR18" s="5">
        <v>1</v>
      </c>
      <c r="AS18" s="5">
        <v>1</v>
      </c>
      <c r="AT18" s="5">
        <v>1</v>
      </c>
      <c r="AU18" s="48">
        <f t="shared" si="8"/>
        <v>1</v>
      </c>
      <c r="AV18" s="44">
        <v>1</v>
      </c>
      <c r="AW18" s="5">
        <v>0.75</v>
      </c>
      <c r="AX18" s="5">
        <v>0.75</v>
      </c>
      <c r="AY18" s="5">
        <v>0.75</v>
      </c>
      <c r="AZ18" s="5">
        <v>0.75</v>
      </c>
      <c r="BA18" s="48">
        <f t="shared" si="9"/>
        <v>0.8</v>
      </c>
      <c r="BB18" s="44">
        <v>1</v>
      </c>
      <c r="BC18" s="5">
        <v>1</v>
      </c>
      <c r="BD18" s="5">
        <v>1</v>
      </c>
      <c r="BE18" s="5">
        <v>0.5</v>
      </c>
      <c r="BF18" s="5">
        <v>0.5</v>
      </c>
      <c r="BG18" s="48">
        <f t="shared" si="10"/>
        <v>0.8</v>
      </c>
      <c r="BH18" s="107"/>
      <c r="BI18" s="44"/>
      <c r="BJ18" s="5"/>
      <c r="BK18" s="5"/>
      <c r="BL18" s="5"/>
      <c r="BM18" s="5"/>
      <c r="BN18" s="48">
        <f t="shared" si="11"/>
        <v>0</v>
      </c>
      <c r="BO18" s="44"/>
      <c r="BP18" s="5"/>
      <c r="BQ18" s="5"/>
      <c r="BR18" s="5"/>
      <c r="BS18" s="5"/>
      <c r="BT18" s="48">
        <f t="shared" si="12"/>
        <v>0</v>
      </c>
      <c r="BU18" s="5"/>
      <c r="BV18" s="5"/>
      <c r="BW18" s="5"/>
      <c r="BX18" s="5"/>
      <c r="BY18" s="5"/>
      <c r="BZ18" s="48">
        <f t="shared" si="13"/>
        <v>0</v>
      </c>
      <c r="CA18" s="5"/>
      <c r="CB18" s="5"/>
      <c r="CC18" s="5"/>
      <c r="CD18" s="5"/>
      <c r="CE18" s="5"/>
      <c r="CF18" s="48">
        <f t="shared" si="14"/>
        <v>0</v>
      </c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</row>
    <row r="19" spans="1:116" s="85" customFormat="1" ht="16" x14ac:dyDescent="0.2">
      <c r="A19" s="83" t="s">
        <v>40</v>
      </c>
      <c r="B19" s="83">
        <v>1</v>
      </c>
      <c r="C19" s="84" t="s">
        <v>39</v>
      </c>
      <c r="D19" s="83" t="s">
        <v>9</v>
      </c>
      <c r="E19" s="83"/>
      <c r="F19" s="83"/>
      <c r="G19" s="98"/>
      <c r="H19" s="63" t="e">
        <f t="shared" ref="H19:H28" si="17">J19*0.7</f>
        <v>#DIV/0!</v>
      </c>
      <c r="I19" s="64" t="e">
        <f t="shared" si="1"/>
        <v>#DIV/0!</v>
      </c>
      <c r="J19" s="64" t="e">
        <f t="shared" si="2"/>
        <v>#DIV/0!</v>
      </c>
      <c r="K19" s="65"/>
      <c r="L19" s="66"/>
      <c r="M19" s="61"/>
      <c r="N19" s="61"/>
      <c r="O19" s="61"/>
      <c r="P19" s="61"/>
      <c r="Q19" s="67" t="e">
        <f t="shared" si="3"/>
        <v>#DIV/0!</v>
      </c>
      <c r="R19" s="66"/>
      <c r="S19" s="61"/>
      <c r="T19" s="61"/>
      <c r="U19" s="61"/>
      <c r="V19" s="61"/>
      <c r="W19" s="67" t="e">
        <f t="shared" si="4"/>
        <v>#DIV/0!</v>
      </c>
      <c r="X19" s="66"/>
      <c r="Y19" s="61"/>
      <c r="Z19" s="61"/>
      <c r="AA19" s="61"/>
      <c r="AB19" s="61"/>
      <c r="AC19" s="67" t="e">
        <f t="shared" si="5"/>
        <v>#DIV/0!</v>
      </c>
      <c r="AD19" s="66"/>
      <c r="AE19" s="61"/>
      <c r="AF19" s="61"/>
      <c r="AG19" s="61"/>
      <c r="AH19" s="61"/>
      <c r="AI19" s="67" t="e">
        <f t="shared" si="6"/>
        <v>#DIV/0!</v>
      </c>
      <c r="AJ19" s="66"/>
      <c r="AK19" s="61"/>
      <c r="AL19" s="61"/>
      <c r="AM19" s="61"/>
      <c r="AN19" s="61"/>
      <c r="AO19" s="67" t="e">
        <f t="shared" si="7"/>
        <v>#DIV/0!</v>
      </c>
      <c r="AP19" s="66"/>
      <c r="AQ19" s="61"/>
      <c r="AR19" s="61"/>
      <c r="AS19" s="61"/>
      <c r="AT19" s="61"/>
      <c r="AU19" s="67" t="e">
        <f t="shared" si="8"/>
        <v>#DIV/0!</v>
      </c>
      <c r="AV19" s="66"/>
      <c r="AW19" s="61"/>
      <c r="AX19" s="61"/>
      <c r="AY19" s="61"/>
      <c r="AZ19" s="61"/>
      <c r="BA19" s="67" t="e">
        <f t="shared" si="9"/>
        <v>#DIV/0!</v>
      </c>
      <c r="BB19" s="66"/>
      <c r="BC19" s="61"/>
      <c r="BD19" s="61"/>
      <c r="BE19" s="61"/>
      <c r="BF19" s="61"/>
      <c r="BG19" s="67" t="e">
        <f t="shared" si="10"/>
        <v>#DIV/0!</v>
      </c>
      <c r="BH19" s="107"/>
      <c r="BI19" s="66"/>
      <c r="BJ19" s="61"/>
      <c r="BK19" s="61"/>
      <c r="BL19" s="61"/>
      <c r="BM19" s="61"/>
      <c r="BN19" s="67">
        <f t="shared" si="11"/>
        <v>0</v>
      </c>
      <c r="BO19" s="66"/>
      <c r="BP19" s="61"/>
      <c r="BQ19" s="61"/>
      <c r="BR19" s="61"/>
      <c r="BS19" s="61"/>
      <c r="BT19" s="67">
        <f>SUM(BO19:BS19)/5*15</f>
        <v>0</v>
      </c>
      <c r="BU19" s="61"/>
      <c r="BV19" s="61"/>
      <c r="BW19" s="61"/>
      <c r="BX19" s="61"/>
      <c r="BY19" s="61"/>
      <c r="BZ19" s="67">
        <f t="shared" si="13"/>
        <v>0</v>
      </c>
      <c r="CA19" s="61"/>
      <c r="CB19" s="61"/>
      <c r="CC19" s="61"/>
      <c r="CD19" s="61"/>
      <c r="CE19" s="61"/>
      <c r="CF19" s="67">
        <f t="shared" si="14"/>
        <v>0</v>
      </c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3"/>
      <c r="DJ19" s="83"/>
      <c r="DK19" s="83"/>
      <c r="DL19" s="83"/>
    </row>
    <row r="20" spans="1:116" ht="16" x14ac:dyDescent="0.2">
      <c r="A20" s="3" t="s">
        <v>42</v>
      </c>
      <c r="B20" s="3">
        <v>1</v>
      </c>
      <c r="C20" s="21" t="s">
        <v>41</v>
      </c>
      <c r="D20" s="3" t="s">
        <v>9</v>
      </c>
      <c r="E20" s="91">
        <f>_xlfn.XLOOKUP(C20,'[1]9M_CD'!$C:$C,'[1]9M_CD'!$I:$I,"")</f>
        <v>1</v>
      </c>
      <c r="F20" s="3">
        <v>1</v>
      </c>
      <c r="G20" s="97">
        <f t="shared" si="15"/>
        <v>75.22</v>
      </c>
      <c r="H20" s="30">
        <f t="shared" ref="H20:H27" si="18">I20*0.7</f>
        <v>45.219999999999992</v>
      </c>
      <c r="I20" s="33">
        <f t="shared" si="1"/>
        <v>64.599999999999994</v>
      </c>
      <c r="J20" s="33">
        <f t="shared" si="2"/>
        <v>64.599999999999994</v>
      </c>
      <c r="K20" s="57"/>
      <c r="L20" s="44">
        <v>0</v>
      </c>
      <c r="M20" s="5">
        <v>0</v>
      </c>
      <c r="N20" s="5">
        <v>0</v>
      </c>
      <c r="O20" s="5">
        <v>0</v>
      </c>
      <c r="P20" s="5">
        <v>0</v>
      </c>
      <c r="Q20" s="48">
        <f t="shared" si="3"/>
        <v>0</v>
      </c>
      <c r="R20" s="44">
        <v>1</v>
      </c>
      <c r="S20" s="5">
        <v>0.8</v>
      </c>
      <c r="T20" s="5">
        <v>0.5</v>
      </c>
      <c r="U20" s="5">
        <v>0</v>
      </c>
      <c r="V20" s="5">
        <v>0</v>
      </c>
      <c r="W20" s="48">
        <f t="shared" si="4"/>
        <v>0.45999999999999996</v>
      </c>
      <c r="X20" s="44">
        <v>1</v>
      </c>
      <c r="Y20" s="5">
        <v>1</v>
      </c>
      <c r="Z20" s="5">
        <v>1</v>
      </c>
      <c r="AA20" s="5">
        <v>1</v>
      </c>
      <c r="AB20" s="5">
        <v>1</v>
      </c>
      <c r="AC20" s="48">
        <f t="shared" si="5"/>
        <v>1</v>
      </c>
      <c r="AD20" s="44">
        <v>1</v>
      </c>
      <c r="AE20" s="5">
        <v>1</v>
      </c>
      <c r="AF20" s="5">
        <v>1</v>
      </c>
      <c r="AG20" s="5">
        <v>1</v>
      </c>
      <c r="AH20" s="5">
        <v>1</v>
      </c>
      <c r="AI20" s="48">
        <f t="shared" si="6"/>
        <v>1</v>
      </c>
      <c r="AJ20" s="44">
        <v>1</v>
      </c>
      <c r="AK20" s="5">
        <v>1</v>
      </c>
      <c r="AL20" s="5">
        <v>1</v>
      </c>
      <c r="AM20" s="5">
        <v>1</v>
      </c>
      <c r="AN20" s="5">
        <v>1</v>
      </c>
      <c r="AO20" s="48">
        <f t="shared" si="7"/>
        <v>1</v>
      </c>
      <c r="AP20" s="44">
        <v>1</v>
      </c>
      <c r="AQ20" s="5">
        <v>1</v>
      </c>
      <c r="AR20" s="5">
        <v>1</v>
      </c>
      <c r="AS20" s="5">
        <v>1</v>
      </c>
      <c r="AT20" s="5">
        <v>1</v>
      </c>
      <c r="AU20" s="48">
        <f t="shared" si="8"/>
        <v>1</v>
      </c>
      <c r="AV20" s="44">
        <v>0</v>
      </c>
      <c r="AW20" s="5">
        <v>0</v>
      </c>
      <c r="AX20" s="5">
        <v>0</v>
      </c>
      <c r="AY20" s="5">
        <v>0</v>
      </c>
      <c r="AZ20" s="5">
        <v>0</v>
      </c>
      <c r="BA20" s="48">
        <f t="shared" si="9"/>
        <v>0</v>
      </c>
      <c r="BB20" s="44">
        <v>0</v>
      </c>
      <c r="BC20" s="5">
        <v>0</v>
      </c>
      <c r="BD20" s="5">
        <v>0</v>
      </c>
      <c r="BE20" s="5">
        <v>0</v>
      </c>
      <c r="BF20" s="5">
        <v>0</v>
      </c>
      <c r="BG20" s="48">
        <f t="shared" si="10"/>
        <v>0</v>
      </c>
      <c r="BH20" s="107"/>
      <c r="BI20" s="44"/>
      <c r="BJ20" s="5"/>
      <c r="BK20" s="5"/>
      <c r="BL20" s="5"/>
      <c r="BM20" s="5"/>
      <c r="BN20" s="48">
        <f t="shared" si="11"/>
        <v>0</v>
      </c>
      <c r="BO20" s="44"/>
      <c r="BP20" s="5"/>
      <c r="BQ20" s="5"/>
      <c r="BR20" s="5"/>
      <c r="BS20" s="5"/>
      <c r="BT20" s="48">
        <f t="shared" si="12"/>
        <v>0</v>
      </c>
      <c r="BU20" s="5"/>
      <c r="BV20" s="5"/>
      <c r="BW20" s="5"/>
      <c r="BX20" s="5"/>
      <c r="BY20" s="5"/>
      <c r="BZ20" s="48">
        <f t="shared" si="13"/>
        <v>0</v>
      </c>
      <c r="CA20" s="5"/>
      <c r="CB20" s="5"/>
      <c r="CC20" s="5"/>
      <c r="CD20" s="5"/>
      <c r="CE20" s="5"/>
      <c r="CF20" s="48">
        <f t="shared" si="14"/>
        <v>0</v>
      </c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</row>
    <row r="21" spans="1:116" ht="16" x14ac:dyDescent="0.2">
      <c r="A21" s="2" t="s">
        <v>44</v>
      </c>
      <c r="B21" s="2">
        <v>1</v>
      </c>
      <c r="C21" s="22" t="s">
        <v>43</v>
      </c>
      <c r="D21" s="2" t="s">
        <v>9</v>
      </c>
      <c r="E21" s="91">
        <f>_xlfn.XLOOKUP(C21,'[1]9M_CD'!$C:$C,'[1]9M_CD'!$I:$I,"")</f>
        <v>1</v>
      </c>
      <c r="F21" s="2">
        <v>1</v>
      </c>
      <c r="G21" s="97">
        <f t="shared" si="15"/>
        <v>94.75</v>
      </c>
      <c r="H21" s="30">
        <f t="shared" si="18"/>
        <v>64.75</v>
      </c>
      <c r="I21" s="33">
        <f t="shared" si="1"/>
        <v>92.5</v>
      </c>
      <c r="J21" s="33">
        <f t="shared" si="2"/>
        <v>92.5</v>
      </c>
      <c r="K21" s="57">
        <v>15</v>
      </c>
      <c r="L21" s="45">
        <v>1</v>
      </c>
      <c r="M21" s="7">
        <v>1</v>
      </c>
      <c r="N21" s="7">
        <v>1</v>
      </c>
      <c r="O21" s="7">
        <v>1</v>
      </c>
      <c r="P21" s="7">
        <v>1</v>
      </c>
      <c r="Q21" s="48">
        <f t="shared" si="3"/>
        <v>1</v>
      </c>
      <c r="R21" s="45">
        <v>0</v>
      </c>
      <c r="S21" s="7">
        <v>0</v>
      </c>
      <c r="T21" s="7">
        <v>0</v>
      </c>
      <c r="U21" s="7">
        <v>0</v>
      </c>
      <c r="V21" s="7">
        <v>0</v>
      </c>
      <c r="W21" s="48">
        <f t="shared" si="4"/>
        <v>0</v>
      </c>
      <c r="X21" s="45">
        <v>0</v>
      </c>
      <c r="Y21" s="7">
        <v>0</v>
      </c>
      <c r="Z21" s="7">
        <v>0</v>
      </c>
      <c r="AA21" s="7">
        <v>0</v>
      </c>
      <c r="AB21" s="7">
        <v>0</v>
      </c>
      <c r="AC21" s="48">
        <f t="shared" si="5"/>
        <v>0</v>
      </c>
      <c r="AD21" s="45">
        <v>0</v>
      </c>
      <c r="AE21" s="7">
        <v>0</v>
      </c>
      <c r="AF21" s="7">
        <v>0</v>
      </c>
      <c r="AG21" s="7">
        <v>0</v>
      </c>
      <c r="AH21" s="7">
        <v>0</v>
      </c>
      <c r="AI21" s="48">
        <f t="shared" si="6"/>
        <v>0</v>
      </c>
      <c r="AJ21" s="45">
        <v>1</v>
      </c>
      <c r="AK21" s="7">
        <v>1</v>
      </c>
      <c r="AL21" s="7">
        <v>1</v>
      </c>
      <c r="AM21" s="7">
        <v>1</v>
      </c>
      <c r="AN21" s="7">
        <v>1</v>
      </c>
      <c r="AO21" s="48">
        <f t="shared" si="7"/>
        <v>1</v>
      </c>
      <c r="AP21" s="45">
        <v>1</v>
      </c>
      <c r="AQ21" s="7">
        <v>1</v>
      </c>
      <c r="AR21" s="7">
        <v>1</v>
      </c>
      <c r="AS21" s="7">
        <v>1</v>
      </c>
      <c r="AT21" s="7">
        <v>1</v>
      </c>
      <c r="AU21" s="48">
        <f t="shared" si="8"/>
        <v>1</v>
      </c>
      <c r="AV21" s="45">
        <v>0.5</v>
      </c>
      <c r="AW21" s="7">
        <v>1</v>
      </c>
      <c r="AX21" s="7">
        <v>1</v>
      </c>
      <c r="AY21" s="7">
        <v>1</v>
      </c>
      <c r="AZ21" s="7"/>
      <c r="BA21" s="48">
        <f t="shared" si="9"/>
        <v>0.875</v>
      </c>
      <c r="BB21" s="45">
        <v>1</v>
      </c>
      <c r="BC21" s="7">
        <v>1</v>
      </c>
      <c r="BD21" s="7">
        <v>1</v>
      </c>
      <c r="BE21" s="7">
        <v>1</v>
      </c>
      <c r="BF21" s="7">
        <v>1</v>
      </c>
      <c r="BG21" s="48">
        <f t="shared" si="10"/>
        <v>1</v>
      </c>
      <c r="BH21" s="107"/>
      <c r="BI21" s="45"/>
      <c r="BJ21" s="7"/>
      <c r="BK21" s="7"/>
      <c r="BL21" s="7"/>
      <c r="BM21" s="7"/>
      <c r="BN21" s="48">
        <f t="shared" si="11"/>
        <v>0</v>
      </c>
      <c r="BO21" s="45"/>
      <c r="BP21" s="7"/>
      <c r="BQ21" s="7"/>
      <c r="BR21" s="7"/>
      <c r="BS21" s="7"/>
      <c r="BT21" s="48">
        <f t="shared" si="12"/>
        <v>0</v>
      </c>
      <c r="BU21" s="7"/>
      <c r="BV21" s="7"/>
      <c r="BW21" s="7"/>
      <c r="BX21" s="7"/>
      <c r="BY21" s="7"/>
      <c r="BZ21" s="48">
        <f t="shared" si="13"/>
        <v>0</v>
      </c>
      <c r="CA21" s="7"/>
      <c r="CB21" s="7"/>
      <c r="CC21" s="7"/>
      <c r="CD21" s="7"/>
      <c r="CE21" s="7"/>
      <c r="CF21" s="48">
        <f t="shared" si="14"/>
        <v>0</v>
      </c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</row>
    <row r="22" spans="1:116" ht="16" x14ac:dyDescent="0.2">
      <c r="A22" s="3" t="s">
        <v>46</v>
      </c>
      <c r="B22" s="3">
        <v>1</v>
      </c>
      <c r="C22" s="21" t="s">
        <v>45</v>
      </c>
      <c r="D22" s="3" t="s">
        <v>9</v>
      </c>
      <c r="E22" s="91">
        <f>_xlfn.XLOOKUP(C22,'[1]9M_CD'!$C:$C,'[1]9M_CD'!$I:$I,"")</f>
        <v>1</v>
      </c>
      <c r="F22" s="3">
        <v>1</v>
      </c>
      <c r="G22" s="97">
        <f t="shared" si="15"/>
        <v>100</v>
      </c>
      <c r="H22" s="30">
        <f t="shared" si="18"/>
        <v>70</v>
      </c>
      <c r="I22" s="33">
        <f t="shared" si="1"/>
        <v>100</v>
      </c>
      <c r="J22" s="33">
        <f t="shared" si="2"/>
        <v>120</v>
      </c>
      <c r="K22" s="57"/>
      <c r="L22" s="44">
        <v>1</v>
      </c>
      <c r="M22" s="5">
        <v>1</v>
      </c>
      <c r="N22" s="5">
        <v>1</v>
      </c>
      <c r="O22" s="5">
        <v>1</v>
      </c>
      <c r="P22" s="5">
        <v>1</v>
      </c>
      <c r="Q22" s="48">
        <f t="shared" si="3"/>
        <v>1</v>
      </c>
      <c r="R22" s="44">
        <v>1</v>
      </c>
      <c r="S22" s="5">
        <v>1</v>
      </c>
      <c r="T22" s="5">
        <v>1</v>
      </c>
      <c r="U22" s="5">
        <v>1</v>
      </c>
      <c r="V22" s="5">
        <v>1</v>
      </c>
      <c r="W22" s="48">
        <f t="shared" si="4"/>
        <v>1</v>
      </c>
      <c r="X22" s="44">
        <v>1</v>
      </c>
      <c r="Y22" s="5">
        <v>1</v>
      </c>
      <c r="Z22" s="5">
        <v>1</v>
      </c>
      <c r="AA22" s="5">
        <v>1</v>
      </c>
      <c r="AB22" s="5">
        <v>1</v>
      </c>
      <c r="AC22" s="48">
        <f t="shared" si="5"/>
        <v>1</v>
      </c>
      <c r="AD22" s="44">
        <v>1</v>
      </c>
      <c r="AE22" s="5">
        <v>1</v>
      </c>
      <c r="AF22" s="5">
        <v>1</v>
      </c>
      <c r="AG22" s="5">
        <v>1</v>
      </c>
      <c r="AH22" s="5">
        <v>1</v>
      </c>
      <c r="AI22" s="48">
        <f t="shared" si="6"/>
        <v>1</v>
      </c>
      <c r="AJ22" s="44">
        <v>1</v>
      </c>
      <c r="AK22" s="5">
        <v>1</v>
      </c>
      <c r="AL22" s="5">
        <v>1</v>
      </c>
      <c r="AM22" s="5">
        <v>1</v>
      </c>
      <c r="AN22" s="5">
        <v>1</v>
      </c>
      <c r="AO22" s="48">
        <f t="shared" si="7"/>
        <v>1</v>
      </c>
      <c r="AP22" s="44">
        <v>1</v>
      </c>
      <c r="AQ22" s="5">
        <v>1</v>
      </c>
      <c r="AR22" s="5">
        <v>1</v>
      </c>
      <c r="AS22" s="5">
        <v>1</v>
      </c>
      <c r="AT22" s="5">
        <v>1</v>
      </c>
      <c r="AU22" s="48">
        <f t="shared" si="8"/>
        <v>1</v>
      </c>
      <c r="AV22" s="44">
        <v>1</v>
      </c>
      <c r="AW22" s="5">
        <v>1</v>
      </c>
      <c r="AX22" s="5">
        <v>1</v>
      </c>
      <c r="AY22" s="5">
        <v>1</v>
      </c>
      <c r="AZ22" s="5">
        <v>1</v>
      </c>
      <c r="BA22" s="48">
        <f t="shared" si="9"/>
        <v>1</v>
      </c>
      <c r="BB22" s="44">
        <v>1</v>
      </c>
      <c r="BC22" s="5">
        <v>1</v>
      </c>
      <c r="BD22" s="5">
        <v>1</v>
      </c>
      <c r="BE22" s="5">
        <v>1</v>
      </c>
      <c r="BF22" s="5">
        <v>1</v>
      </c>
      <c r="BG22" s="48">
        <f t="shared" si="10"/>
        <v>1</v>
      </c>
      <c r="BH22" s="107"/>
      <c r="BI22" s="44"/>
      <c r="BJ22" s="5"/>
      <c r="BK22" s="5"/>
      <c r="BL22" s="5"/>
      <c r="BM22" s="5"/>
      <c r="BN22" s="48">
        <f t="shared" si="11"/>
        <v>0</v>
      </c>
      <c r="BO22" s="44"/>
      <c r="BP22" s="5"/>
      <c r="BQ22" s="5"/>
      <c r="BR22" s="5"/>
      <c r="BS22" s="5"/>
      <c r="BT22" s="48">
        <f t="shared" si="12"/>
        <v>0</v>
      </c>
      <c r="BU22" s="5"/>
      <c r="BV22" s="5"/>
      <c r="BW22" s="5"/>
      <c r="BX22" s="5"/>
      <c r="BY22" s="5"/>
      <c r="BZ22" s="48">
        <f t="shared" si="13"/>
        <v>0</v>
      </c>
      <c r="CA22" s="5"/>
      <c r="CB22" s="5"/>
      <c r="CC22" s="5"/>
      <c r="CD22" s="5"/>
      <c r="CE22" s="5"/>
      <c r="CF22" s="48">
        <f t="shared" si="14"/>
        <v>0</v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</row>
    <row r="23" spans="1:116" ht="16" x14ac:dyDescent="0.2">
      <c r="A23" s="2" t="s">
        <v>48</v>
      </c>
      <c r="B23" s="2">
        <v>1</v>
      </c>
      <c r="C23" s="22" t="s">
        <v>47</v>
      </c>
      <c r="D23" s="2" t="s">
        <v>9</v>
      </c>
      <c r="E23" s="91">
        <f>_xlfn.XLOOKUP(C23,'[1]9M_CD'!$C:$C,'[1]9M_CD'!$I:$I,"")</f>
        <v>1</v>
      </c>
      <c r="F23" s="2">
        <v>1</v>
      </c>
      <c r="G23" s="97">
        <f t="shared" si="15"/>
        <v>100</v>
      </c>
      <c r="H23" s="30">
        <f t="shared" si="18"/>
        <v>70</v>
      </c>
      <c r="I23" s="33">
        <f t="shared" si="1"/>
        <v>100</v>
      </c>
      <c r="J23" s="33">
        <f t="shared" si="2"/>
        <v>120</v>
      </c>
      <c r="K23" s="57"/>
      <c r="L23" s="45">
        <v>1</v>
      </c>
      <c r="M23" s="7">
        <v>1</v>
      </c>
      <c r="N23" s="7">
        <v>1</v>
      </c>
      <c r="O23" s="7">
        <v>1</v>
      </c>
      <c r="P23" s="7">
        <v>1</v>
      </c>
      <c r="Q23" s="48">
        <f t="shared" si="3"/>
        <v>1</v>
      </c>
      <c r="R23" s="45">
        <v>1</v>
      </c>
      <c r="S23" s="7">
        <v>1</v>
      </c>
      <c r="T23" s="7">
        <v>1</v>
      </c>
      <c r="U23" s="7">
        <v>1</v>
      </c>
      <c r="V23" s="7">
        <v>1</v>
      </c>
      <c r="W23" s="48">
        <f t="shared" si="4"/>
        <v>1</v>
      </c>
      <c r="X23" s="45">
        <v>1</v>
      </c>
      <c r="Y23" s="7">
        <v>1</v>
      </c>
      <c r="Z23" s="7">
        <v>1</v>
      </c>
      <c r="AA23" s="7">
        <v>1</v>
      </c>
      <c r="AB23" s="7">
        <v>1</v>
      </c>
      <c r="AC23" s="48">
        <f t="shared" si="5"/>
        <v>1</v>
      </c>
      <c r="AD23" s="45">
        <v>1</v>
      </c>
      <c r="AE23" s="7">
        <v>1</v>
      </c>
      <c r="AF23" s="7">
        <v>1</v>
      </c>
      <c r="AG23" s="7">
        <v>1</v>
      </c>
      <c r="AH23" s="7">
        <v>1</v>
      </c>
      <c r="AI23" s="48">
        <f t="shared" si="6"/>
        <v>1</v>
      </c>
      <c r="AJ23" s="45">
        <v>1</v>
      </c>
      <c r="AK23" s="7">
        <v>1</v>
      </c>
      <c r="AL23" s="7">
        <v>1</v>
      </c>
      <c r="AM23" s="7">
        <v>1</v>
      </c>
      <c r="AN23" s="7">
        <v>1</v>
      </c>
      <c r="AO23" s="48">
        <f t="shared" si="7"/>
        <v>1</v>
      </c>
      <c r="AP23" s="45">
        <v>1</v>
      </c>
      <c r="AQ23" s="7">
        <v>1</v>
      </c>
      <c r="AR23" s="7">
        <v>1</v>
      </c>
      <c r="AS23" s="7">
        <v>1</v>
      </c>
      <c r="AT23" s="7">
        <v>1</v>
      </c>
      <c r="AU23" s="48">
        <f t="shared" si="8"/>
        <v>1</v>
      </c>
      <c r="AV23" s="45">
        <v>1</v>
      </c>
      <c r="AW23" s="7">
        <v>1</v>
      </c>
      <c r="AX23" s="7">
        <v>1</v>
      </c>
      <c r="AY23" s="7">
        <v>1</v>
      </c>
      <c r="AZ23" s="7">
        <v>1</v>
      </c>
      <c r="BA23" s="48">
        <f t="shared" si="9"/>
        <v>1</v>
      </c>
      <c r="BB23" s="45">
        <v>1</v>
      </c>
      <c r="BC23" s="7">
        <v>1</v>
      </c>
      <c r="BD23" s="7">
        <v>1</v>
      </c>
      <c r="BE23" s="7">
        <v>1</v>
      </c>
      <c r="BF23" s="7">
        <v>1</v>
      </c>
      <c r="BG23" s="48">
        <f t="shared" si="10"/>
        <v>1</v>
      </c>
      <c r="BH23" s="107"/>
      <c r="BI23" s="45"/>
      <c r="BJ23" s="7"/>
      <c r="BK23" s="7"/>
      <c r="BL23" s="7"/>
      <c r="BM23" s="7"/>
      <c r="BN23" s="48">
        <f t="shared" si="11"/>
        <v>0</v>
      </c>
      <c r="BO23" s="45"/>
      <c r="BP23" s="7"/>
      <c r="BQ23" s="7"/>
      <c r="BR23" s="7"/>
      <c r="BS23" s="7"/>
      <c r="BT23" s="48">
        <f t="shared" si="12"/>
        <v>0</v>
      </c>
      <c r="BU23" s="7"/>
      <c r="BV23" s="7"/>
      <c r="BW23" s="7"/>
      <c r="BX23" s="7"/>
      <c r="BY23" s="7"/>
      <c r="BZ23" s="48">
        <f t="shared" si="13"/>
        <v>0</v>
      </c>
      <c r="CA23" s="7"/>
      <c r="CB23" s="7"/>
      <c r="CC23" s="7"/>
      <c r="CD23" s="7"/>
      <c r="CE23" s="7"/>
      <c r="CF23" s="48">
        <f t="shared" si="14"/>
        <v>0</v>
      </c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</row>
    <row r="24" spans="1:116" ht="16" x14ac:dyDescent="0.2">
      <c r="A24" s="3" t="s">
        <v>50</v>
      </c>
      <c r="B24" s="3">
        <v>1</v>
      </c>
      <c r="C24" s="21" t="s">
        <v>49</v>
      </c>
      <c r="D24" s="3" t="s">
        <v>9</v>
      </c>
      <c r="E24" s="91">
        <f>_xlfn.XLOOKUP(C24,'[1]9M_CD'!$C:$C,'[1]9M_CD'!$I:$I,"")</f>
        <v>1</v>
      </c>
      <c r="F24" s="3">
        <v>1</v>
      </c>
      <c r="G24" s="97">
        <f t="shared" si="15"/>
        <v>100</v>
      </c>
      <c r="H24" s="30">
        <f t="shared" si="18"/>
        <v>70</v>
      </c>
      <c r="I24" s="33">
        <f t="shared" si="1"/>
        <v>100</v>
      </c>
      <c r="J24" s="33">
        <f t="shared" si="2"/>
        <v>114</v>
      </c>
      <c r="K24" s="57">
        <v>15</v>
      </c>
      <c r="L24" s="44">
        <v>1</v>
      </c>
      <c r="M24" s="5">
        <v>1</v>
      </c>
      <c r="N24" s="5">
        <v>1</v>
      </c>
      <c r="O24" s="5">
        <v>1</v>
      </c>
      <c r="P24" s="5">
        <v>1</v>
      </c>
      <c r="Q24" s="48">
        <f t="shared" si="3"/>
        <v>1</v>
      </c>
      <c r="R24" s="44">
        <v>1</v>
      </c>
      <c r="S24" s="5">
        <v>1</v>
      </c>
      <c r="T24" s="5">
        <v>1</v>
      </c>
      <c r="U24" s="5">
        <v>1</v>
      </c>
      <c r="V24" s="5">
        <v>1</v>
      </c>
      <c r="W24" s="48">
        <f t="shared" si="4"/>
        <v>1</v>
      </c>
      <c r="X24" s="44">
        <v>0.75</v>
      </c>
      <c r="Y24" s="5">
        <v>0.75</v>
      </c>
      <c r="Z24" s="5">
        <v>0.5</v>
      </c>
      <c r="AA24" s="5">
        <v>0.5</v>
      </c>
      <c r="AB24" s="5">
        <v>0.5</v>
      </c>
      <c r="AC24" s="48">
        <f t="shared" si="5"/>
        <v>0.6</v>
      </c>
      <c r="AD24" s="44">
        <v>0</v>
      </c>
      <c r="AE24" s="5">
        <v>0</v>
      </c>
      <c r="AF24" s="5">
        <v>0</v>
      </c>
      <c r="AG24" s="5">
        <v>0</v>
      </c>
      <c r="AH24" s="5">
        <v>0</v>
      </c>
      <c r="AI24" s="48">
        <f t="shared" si="6"/>
        <v>0</v>
      </c>
      <c r="AJ24" s="44">
        <v>1</v>
      </c>
      <c r="AK24" s="5">
        <v>1</v>
      </c>
      <c r="AL24" s="5">
        <v>1</v>
      </c>
      <c r="AM24" s="5">
        <v>1</v>
      </c>
      <c r="AN24" s="5">
        <v>1</v>
      </c>
      <c r="AO24" s="48">
        <f t="shared" si="7"/>
        <v>1</v>
      </c>
      <c r="AP24" s="44">
        <v>1</v>
      </c>
      <c r="AQ24" s="5">
        <v>1</v>
      </c>
      <c r="AR24" s="5">
        <v>1</v>
      </c>
      <c r="AS24" s="5">
        <v>1</v>
      </c>
      <c r="AT24" s="5">
        <v>1</v>
      </c>
      <c r="AU24" s="48">
        <f t="shared" si="8"/>
        <v>1</v>
      </c>
      <c r="AV24" s="44">
        <v>1</v>
      </c>
      <c r="AW24" s="5">
        <v>1</v>
      </c>
      <c r="AX24" s="5">
        <v>1</v>
      </c>
      <c r="AY24" s="5">
        <v>1</v>
      </c>
      <c r="AZ24" s="5">
        <v>1</v>
      </c>
      <c r="BA24" s="48">
        <f t="shared" si="9"/>
        <v>1</v>
      </c>
      <c r="BB24" s="44">
        <v>1</v>
      </c>
      <c r="BC24" s="5">
        <v>1</v>
      </c>
      <c r="BD24" s="5">
        <v>1</v>
      </c>
      <c r="BE24" s="5">
        <v>1</v>
      </c>
      <c r="BF24" s="5">
        <v>1</v>
      </c>
      <c r="BG24" s="48">
        <f t="shared" si="10"/>
        <v>1</v>
      </c>
      <c r="BH24" s="107"/>
      <c r="BI24" s="44"/>
      <c r="BJ24" s="5"/>
      <c r="BK24" s="5"/>
      <c r="BL24" s="5"/>
      <c r="BM24" s="5"/>
      <c r="BN24" s="48">
        <f t="shared" si="11"/>
        <v>0</v>
      </c>
      <c r="BO24" s="44"/>
      <c r="BP24" s="5"/>
      <c r="BQ24" s="5"/>
      <c r="BR24" s="5"/>
      <c r="BS24" s="5"/>
      <c r="BT24" s="48">
        <f t="shared" si="12"/>
        <v>0</v>
      </c>
      <c r="BU24" s="5"/>
      <c r="BV24" s="5"/>
      <c r="BW24" s="5"/>
      <c r="BX24" s="5"/>
      <c r="BY24" s="5"/>
      <c r="BZ24" s="48">
        <f t="shared" si="13"/>
        <v>0</v>
      </c>
      <c r="CA24" s="5"/>
      <c r="CB24" s="5"/>
      <c r="CC24" s="5"/>
      <c r="CD24" s="5"/>
      <c r="CE24" s="5"/>
      <c r="CF24" s="48">
        <f t="shared" si="14"/>
        <v>0</v>
      </c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</row>
    <row r="25" spans="1:116" ht="16" x14ac:dyDescent="0.2">
      <c r="A25" s="2" t="s">
        <v>52</v>
      </c>
      <c r="B25" s="2">
        <v>1</v>
      </c>
      <c r="C25" s="22" t="s">
        <v>51</v>
      </c>
      <c r="D25" s="2" t="s">
        <v>9</v>
      </c>
      <c r="E25" s="91">
        <f>_xlfn.XLOOKUP(C25,'[1]9M_CD'!$C:$C,'[1]9M_CD'!$I:$I,"")</f>
        <v>1</v>
      </c>
      <c r="F25" s="2">
        <v>1</v>
      </c>
      <c r="G25" s="97">
        <f t="shared" si="15"/>
        <v>100</v>
      </c>
      <c r="H25" s="30">
        <f t="shared" si="18"/>
        <v>70</v>
      </c>
      <c r="I25" s="33">
        <f t="shared" si="1"/>
        <v>100</v>
      </c>
      <c r="J25" s="33">
        <f t="shared" si="2"/>
        <v>114</v>
      </c>
      <c r="K25" s="57"/>
      <c r="L25" s="45">
        <v>1</v>
      </c>
      <c r="M25" s="7">
        <v>1</v>
      </c>
      <c r="N25" s="7">
        <v>1</v>
      </c>
      <c r="O25" s="7">
        <v>1</v>
      </c>
      <c r="P25" s="7">
        <v>1</v>
      </c>
      <c r="Q25" s="48">
        <f t="shared" si="3"/>
        <v>1</v>
      </c>
      <c r="R25" s="45">
        <v>1</v>
      </c>
      <c r="S25" s="7">
        <v>1</v>
      </c>
      <c r="T25" s="7">
        <v>1</v>
      </c>
      <c r="U25" s="7">
        <v>1</v>
      </c>
      <c r="V25" s="7">
        <v>1</v>
      </c>
      <c r="W25" s="48">
        <f t="shared" si="4"/>
        <v>1</v>
      </c>
      <c r="X25" s="45">
        <v>1</v>
      </c>
      <c r="Y25" s="7">
        <v>1</v>
      </c>
      <c r="Z25" s="7">
        <v>1</v>
      </c>
      <c r="AA25" s="7">
        <v>0</v>
      </c>
      <c r="AB25" s="7">
        <v>1</v>
      </c>
      <c r="AC25" s="48">
        <f t="shared" si="5"/>
        <v>0.8</v>
      </c>
      <c r="AD25" s="45">
        <v>1</v>
      </c>
      <c r="AE25" s="7">
        <v>1</v>
      </c>
      <c r="AF25" s="7">
        <v>1</v>
      </c>
      <c r="AG25" s="7">
        <v>0</v>
      </c>
      <c r="AH25" s="7">
        <v>1</v>
      </c>
      <c r="AI25" s="48">
        <f t="shared" si="6"/>
        <v>0.8</v>
      </c>
      <c r="AJ25" s="45">
        <v>1</v>
      </c>
      <c r="AK25" s="7">
        <v>1</v>
      </c>
      <c r="AL25" s="7">
        <v>1</v>
      </c>
      <c r="AM25" s="7">
        <v>1</v>
      </c>
      <c r="AN25" s="7">
        <v>1</v>
      </c>
      <c r="AO25" s="48">
        <f t="shared" si="7"/>
        <v>1</v>
      </c>
      <c r="AP25" s="45">
        <v>1</v>
      </c>
      <c r="AQ25" s="7">
        <v>1</v>
      </c>
      <c r="AR25" s="7">
        <v>1</v>
      </c>
      <c r="AS25" s="7">
        <v>1</v>
      </c>
      <c r="AT25" s="7">
        <v>1</v>
      </c>
      <c r="AU25" s="48">
        <f t="shared" si="8"/>
        <v>1</v>
      </c>
      <c r="AV25" s="45">
        <v>1</v>
      </c>
      <c r="AW25" s="7">
        <v>1</v>
      </c>
      <c r="AX25" s="7">
        <v>1</v>
      </c>
      <c r="AY25" s="7">
        <v>1</v>
      </c>
      <c r="AZ25" s="7">
        <v>1</v>
      </c>
      <c r="BA25" s="48">
        <f t="shared" si="9"/>
        <v>1</v>
      </c>
      <c r="BB25" s="45">
        <v>1</v>
      </c>
      <c r="BC25" s="7">
        <v>1</v>
      </c>
      <c r="BD25" s="7">
        <v>1</v>
      </c>
      <c r="BE25" s="7">
        <v>1</v>
      </c>
      <c r="BF25" s="7">
        <v>1</v>
      </c>
      <c r="BG25" s="48">
        <f t="shared" si="10"/>
        <v>1</v>
      </c>
      <c r="BH25" s="107"/>
      <c r="BI25" s="45"/>
      <c r="BJ25" s="7"/>
      <c r="BK25" s="7"/>
      <c r="BL25" s="7"/>
      <c r="BM25" s="7"/>
      <c r="BN25" s="48">
        <f t="shared" si="11"/>
        <v>0</v>
      </c>
      <c r="BO25" s="45"/>
      <c r="BP25" s="7"/>
      <c r="BQ25" s="7"/>
      <c r="BR25" s="7"/>
      <c r="BS25" s="7"/>
      <c r="BT25" s="48">
        <f t="shared" si="12"/>
        <v>0</v>
      </c>
      <c r="BU25" s="7"/>
      <c r="BV25" s="7"/>
      <c r="BW25" s="7"/>
      <c r="BX25" s="7"/>
      <c r="BY25" s="7"/>
      <c r="BZ25" s="48">
        <f t="shared" si="13"/>
        <v>0</v>
      </c>
      <c r="CA25" s="7"/>
      <c r="CB25" s="7"/>
      <c r="CC25" s="7"/>
      <c r="CD25" s="7"/>
      <c r="CE25" s="7"/>
      <c r="CF25" s="48">
        <f t="shared" si="14"/>
        <v>0</v>
      </c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</row>
    <row r="26" spans="1:116" ht="16" x14ac:dyDescent="0.2">
      <c r="A26" s="3" t="s">
        <v>54</v>
      </c>
      <c r="B26" s="3">
        <v>1</v>
      </c>
      <c r="C26" s="21" t="s">
        <v>53</v>
      </c>
      <c r="D26" s="3" t="s">
        <v>9</v>
      </c>
      <c r="E26" s="91">
        <f>_xlfn.XLOOKUP(C26,'[1]9M_CD'!$C:$C,'[1]9M_CD'!$I:$I,"")</f>
        <v>1</v>
      </c>
      <c r="F26" s="3">
        <v>1</v>
      </c>
      <c r="G26" s="97">
        <f t="shared" si="15"/>
        <v>90.199999999999989</v>
      </c>
      <c r="H26" s="30">
        <f t="shared" si="18"/>
        <v>60.199999999999996</v>
      </c>
      <c r="I26" s="33">
        <f t="shared" si="1"/>
        <v>86</v>
      </c>
      <c r="J26" s="33">
        <f t="shared" si="2"/>
        <v>86</v>
      </c>
      <c r="K26" s="57">
        <v>15</v>
      </c>
      <c r="L26" s="44">
        <v>1</v>
      </c>
      <c r="M26" s="5">
        <v>1</v>
      </c>
      <c r="N26" s="5">
        <v>1</v>
      </c>
      <c r="O26" s="5">
        <v>0</v>
      </c>
      <c r="P26" s="5">
        <v>0</v>
      </c>
      <c r="Q26" s="48">
        <f t="shared" si="3"/>
        <v>0.6</v>
      </c>
      <c r="R26" s="44">
        <v>1</v>
      </c>
      <c r="S26" s="5">
        <v>1</v>
      </c>
      <c r="T26" s="5">
        <v>1</v>
      </c>
      <c r="U26" s="5">
        <v>0</v>
      </c>
      <c r="V26" s="5">
        <v>0</v>
      </c>
      <c r="W26" s="48">
        <f t="shared" si="4"/>
        <v>0.6</v>
      </c>
      <c r="X26" s="44">
        <v>1</v>
      </c>
      <c r="Y26" s="5">
        <v>1</v>
      </c>
      <c r="Z26" s="5">
        <v>1</v>
      </c>
      <c r="AA26" s="5">
        <v>1</v>
      </c>
      <c r="AB26" s="5">
        <v>1</v>
      </c>
      <c r="AC26" s="48">
        <f t="shared" si="5"/>
        <v>1</v>
      </c>
      <c r="AD26" s="44">
        <v>0</v>
      </c>
      <c r="AE26" s="5">
        <v>0</v>
      </c>
      <c r="AF26" s="5">
        <v>0</v>
      </c>
      <c r="AG26" s="5">
        <v>0</v>
      </c>
      <c r="AH26" s="5">
        <v>0</v>
      </c>
      <c r="AI26" s="48">
        <f t="shared" si="6"/>
        <v>0</v>
      </c>
      <c r="AJ26" s="44">
        <v>1</v>
      </c>
      <c r="AK26" s="5">
        <v>1</v>
      </c>
      <c r="AL26" s="5">
        <v>1</v>
      </c>
      <c r="AM26" s="5">
        <v>0</v>
      </c>
      <c r="AN26" s="5">
        <v>0</v>
      </c>
      <c r="AO26" s="48">
        <f t="shared" si="7"/>
        <v>0.6</v>
      </c>
      <c r="AP26" s="44">
        <v>1</v>
      </c>
      <c r="AQ26" s="5">
        <v>1</v>
      </c>
      <c r="AR26" s="5">
        <v>1</v>
      </c>
      <c r="AS26" s="5">
        <v>1</v>
      </c>
      <c r="AT26" s="5">
        <v>1</v>
      </c>
      <c r="AU26" s="48">
        <f t="shared" si="8"/>
        <v>1</v>
      </c>
      <c r="AV26" s="44">
        <v>1</v>
      </c>
      <c r="AW26" s="5">
        <v>1</v>
      </c>
      <c r="AX26" s="5">
        <v>1</v>
      </c>
      <c r="AY26" s="5">
        <v>1</v>
      </c>
      <c r="AZ26" s="5">
        <v>1</v>
      </c>
      <c r="BA26" s="48">
        <f t="shared" si="9"/>
        <v>1</v>
      </c>
      <c r="BB26" s="44">
        <v>0</v>
      </c>
      <c r="BC26" s="5">
        <v>0</v>
      </c>
      <c r="BD26" s="5">
        <v>0</v>
      </c>
      <c r="BE26" s="5">
        <v>0</v>
      </c>
      <c r="BF26" s="5">
        <v>0</v>
      </c>
      <c r="BG26" s="48">
        <f t="shared" si="10"/>
        <v>0</v>
      </c>
      <c r="BH26" s="107"/>
      <c r="BI26" s="44"/>
      <c r="BJ26" s="5"/>
      <c r="BK26" s="5"/>
      <c r="BL26" s="5"/>
      <c r="BM26" s="5"/>
      <c r="BN26" s="48">
        <f t="shared" si="11"/>
        <v>0</v>
      </c>
      <c r="BO26" s="44"/>
      <c r="BP26" s="5"/>
      <c r="BQ26" s="5"/>
      <c r="BR26" s="5"/>
      <c r="BS26" s="5"/>
      <c r="BT26" s="48">
        <f t="shared" si="12"/>
        <v>0</v>
      </c>
      <c r="BU26" s="5"/>
      <c r="BV26" s="5"/>
      <c r="BW26" s="5"/>
      <c r="BX26" s="5"/>
      <c r="BY26" s="5"/>
      <c r="BZ26" s="48">
        <f t="shared" si="13"/>
        <v>0</v>
      </c>
      <c r="CA26" s="5"/>
      <c r="CB26" s="5"/>
      <c r="CC26" s="5"/>
      <c r="CD26" s="5"/>
      <c r="CE26" s="5"/>
      <c r="CF26" s="48">
        <f t="shared" si="14"/>
        <v>0</v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</row>
    <row r="27" spans="1:116" ht="16" x14ac:dyDescent="0.2">
      <c r="A27" s="2" t="s">
        <v>56</v>
      </c>
      <c r="B27" s="2">
        <v>1</v>
      </c>
      <c r="C27" s="22" t="s">
        <v>55</v>
      </c>
      <c r="D27" s="2" t="s">
        <v>9</v>
      </c>
      <c r="E27" s="91">
        <f>_xlfn.XLOOKUP(C27,'[1]9M_CD'!$C:$C,'[1]9M_CD'!$I:$I,"")</f>
        <v>1</v>
      </c>
      <c r="F27" s="2">
        <v>1</v>
      </c>
      <c r="G27" s="97">
        <f t="shared" si="15"/>
        <v>96.5</v>
      </c>
      <c r="H27" s="30">
        <f t="shared" si="18"/>
        <v>66.5</v>
      </c>
      <c r="I27" s="33">
        <f t="shared" si="1"/>
        <v>95</v>
      </c>
      <c r="J27" s="33">
        <f t="shared" si="2"/>
        <v>95</v>
      </c>
      <c r="K27" s="57"/>
      <c r="L27" s="45">
        <v>1</v>
      </c>
      <c r="M27" s="7">
        <v>1</v>
      </c>
      <c r="N27" s="7">
        <v>1</v>
      </c>
      <c r="O27" s="7">
        <v>1</v>
      </c>
      <c r="P27" s="7">
        <v>1</v>
      </c>
      <c r="Q27" s="48">
        <f t="shared" si="3"/>
        <v>1</v>
      </c>
      <c r="R27" s="45">
        <v>1</v>
      </c>
      <c r="S27" s="7">
        <v>1</v>
      </c>
      <c r="T27" s="7">
        <v>1</v>
      </c>
      <c r="U27" s="7">
        <v>1</v>
      </c>
      <c r="V27" s="7">
        <v>1</v>
      </c>
      <c r="W27" s="48">
        <f t="shared" si="4"/>
        <v>1</v>
      </c>
      <c r="X27" s="45">
        <v>1</v>
      </c>
      <c r="Y27" s="7">
        <v>1</v>
      </c>
      <c r="Z27" s="7">
        <v>1</v>
      </c>
      <c r="AA27" s="7">
        <v>1</v>
      </c>
      <c r="AB27" s="7">
        <v>1</v>
      </c>
      <c r="AC27" s="48">
        <f t="shared" si="5"/>
        <v>1</v>
      </c>
      <c r="AD27" s="45">
        <v>0</v>
      </c>
      <c r="AE27" s="7">
        <v>0</v>
      </c>
      <c r="AF27" s="7">
        <v>0</v>
      </c>
      <c r="AG27" s="7">
        <v>0</v>
      </c>
      <c r="AH27" s="7">
        <v>0</v>
      </c>
      <c r="AI27" s="48">
        <f t="shared" si="6"/>
        <v>0</v>
      </c>
      <c r="AJ27" s="45">
        <v>1</v>
      </c>
      <c r="AK27" s="7">
        <v>1</v>
      </c>
      <c r="AL27" s="7">
        <v>1</v>
      </c>
      <c r="AM27" s="7">
        <v>1</v>
      </c>
      <c r="AN27" s="7">
        <v>1</v>
      </c>
      <c r="AO27" s="48">
        <f t="shared" si="7"/>
        <v>1</v>
      </c>
      <c r="AP27" s="45">
        <v>1</v>
      </c>
      <c r="AQ27" s="7">
        <v>1</v>
      </c>
      <c r="AR27" s="7">
        <v>1</v>
      </c>
      <c r="AS27" s="7">
        <v>1</v>
      </c>
      <c r="AT27" s="7">
        <v>1</v>
      </c>
      <c r="AU27" s="48">
        <f t="shared" si="8"/>
        <v>1</v>
      </c>
      <c r="AV27" s="45">
        <v>1</v>
      </c>
      <c r="AW27" s="7">
        <v>1</v>
      </c>
      <c r="AX27" s="7">
        <v>0.5</v>
      </c>
      <c r="AY27" s="7">
        <v>0</v>
      </c>
      <c r="AZ27" s="7">
        <v>1</v>
      </c>
      <c r="BA27" s="48">
        <f t="shared" si="9"/>
        <v>0.7</v>
      </c>
      <c r="BB27" s="45">
        <v>1</v>
      </c>
      <c r="BC27" s="7">
        <v>1</v>
      </c>
      <c r="BD27" s="7">
        <v>1</v>
      </c>
      <c r="BE27" s="7">
        <v>1</v>
      </c>
      <c r="BF27" s="7">
        <v>0</v>
      </c>
      <c r="BG27" s="48">
        <f t="shared" si="10"/>
        <v>0.8</v>
      </c>
      <c r="BH27" s="107"/>
      <c r="BI27" s="45"/>
      <c r="BJ27" s="7"/>
      <c r="BK27" s="7"/>
      <c r="BL27" s="7"/>
      <c r="BM27" s="7"/>
      <c r="BN27" s="48">
        <f t="shared" si="11"/>
        <v>0</v>
      </c>
      <c r="BO27" s="45"/>
      <c r="BP27" s="7"/>
      <c r="BQ27" s="7"/>
      <c r="BR27" s="7"/>
      <c r="BS27" s="7"/>
      <c r="BT27" s="48">
        <f t="shared" si="12"/>
        <v>0</v>
      </c>
      <c r="BU27" s="7"/>
      <c r="BV27" s="7"/>
      <c r="BW27" s="7"/>
      <c r="BX27" s="7"/>
      <c r="BY27" s="7"/>
      <c r="BZ27" s="48">
        <f t="shared" si="13"/>
        <v>0</v>
      </c>
      <c r="CA27" s="7"/>
      <c r="CB27" s="7"/>
      <c r="CC27" s="7"/>
      <c r="CD27" s="7"/>
      <c r="CE27" s="7"/>
      <c r="CF27" s="48">
        <f t="shared" si="14"/>
        <v>0</v>
      </c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</row>
    <row r="28" spans="1:116" s="85" customFormat="1" ht="16" x14ac:dyDescent="0.2">
      <c r="A28" s="83" t="s">
        <v>58</v>
      </c>
      <c r="B28" s="83">
        <v>1</v>
      </c>
      <c r="C28" s="84" t="s">
        <v>57</v>
      </c>
      <c r="D28" s="83" t="s">
        <v>9</v>
      </c>
      <c r="E28" s="83">
        <f>_xlfn.XLOOKUP(C28,'[1]9M_CD'!$C:$C,'[1]9M_CD'!$I:$I,"")</f>
        <v>0</v>
      </c>
      <c r="F28" s="83">
        <v>1</v>
      </c>
      <c r="G28" s="99" t="e">
        <f t="shared" si="15"/>
        <v>#DIV/0!</v>
      </c>
      <c r="H28" s="63" t="e">
        <f t="shared" si="17"/>
        <v>#DIV/0!</v>
      </c>
      <c r="I28" s="64" t="e">
        <f t="shared" si="1"/>
        <v>#DIV/0!</v>
      </c>
      <c r="J28" s="64" t="e">
        <f t="shared" si="2"/>
        <v>#DIV/0!</v>
      </c>
      <c r="K28" s="65"/>
      <c r="L28" s="66"/>
      <c r="M28" s="61"/>
      <c r="N28" s="61"/>
      <c r="O28" s="61"/>
      <c r="P28" s="61"/>
      <c r="Q28" s="67" t="e">
        <f t="shared" si="3"/>
        <v>#DIV/0!</v>
      </c>
      <c r="R28" s="66"/>
      <c r="S28" s="61"/>
      <c r="T28" s="61"/>
      <c r="U28" s="61"/>
      <c r="V28" s="61"/>
      <c r="W28" s="67" t="e">
        <f t="shared" si="4"/>
        <v>#DIV/0!</v>
      </c>
      <c r="X28" s="66"/>
      <c r="Y28" s="61"/>
      <c r="Z28" s="61"/>
      <c r="AA28" s="61"/>
      <c r="AB28" s="61"/>
      <c r="AC28" s="67" t="e">
        <f t="shared" si="5"/>
        <v>#DIV/0!</v>
      </c>
      <c r="AD28" s="66"/>
      <c r="AE28" s="61"/>
      <c r="AF28" s="61"/>
      <c r="AG28" s="61"/>
      <c r="AH28" s="61"/>
      <c r="AI28" s="67" t="e">
        <f t="shared" si="6"/>
        <v>#DIV/0!</v>
      </c>
      <c r="AJ28" s="66"/>
      <c r="AK28" s="61"/>
      <c r="AL28" s="61"/>
      <c r="AM28" s="61"/>
      <c r="AN28" s="61"/>
      <c r="AO28" s="67" t="e">
        <f t="shared" si="7"/>
        <v>#DIV/0!</v>
      </c>
      <c r="AP28" s="66"/>
      <c r="AQ28" s="61"/>
      <c r="AR28" s="61"/>
      <c r="AS28" s="61"/>
      <c r="AT28" s="61"/>
      <c r="AU28" s="67" t="e">
        <f t="shared" si="8"/>
        <v>#DIV/0!</v>
      </c>
      <c r="AV28" s="66"/>
      <c r="AW28" s="61"/>
      <c r="AX28" s="61"/>
      <c r="AY28" s="61"/>
      <c r="AZ28" s="61"/>
      <c r="BA28" s="67" t="e">
        <f t="shared" si="9"/>
        <v>#DIV/0!</v>
      </c>
      <c r="BB28" s="66"/>
      <c r="BC28" s="61"/>
      <c r="BD28" s="61"/>
      <c r="BE28" s="61"/>
      <c r="BF28" s="61"/>
      <c r="BG28" s="67" t="e">
        <f t="shared" si="10"/>
        <v>#DIV/0!</v>
      </c>
      <c r="BH28" s="107"/>
      <c r="BI28" s="66"/>
      <c r="BJ28" s="61"/>
      <c r="BK28" s="61"/>
      <c r="BL28" s="61"/>
      <c r="BM28" s="61"/>
      <c r="BN28" s="67">
        <f t="shared" si="11"/>
        <v>0</v>
      </c>
      <c r="BO28" s="66"/>
      <c r="BP28" s="61"/>
      <c r="BQ28" s="61"/>
      <c r="BR28" s="61"/>
      <c r="BS28" s="61"/>
      <c r="BT28" s="67">
        <f t="shared" si="12"/>
        <v>0</v>
      </c>
      <c r="BU28" s="61"/>
      <c r="BV28" s="61"/>
      <c r="BW28" s="61"/>
      <c r="BX28" s="61"/>
      <c r="BY28" s="61"/>
      <c r="BZ28" s="67">
        <f t="shared" si="13"/>
        <v>0</v>
      </c>
      <c r="CA28" s="61"/>
      <c r="CB28" s="61"/>
      <c r="CC28" s="61"/>
      <c r="CD28" s="61"/>
      <c r="CE28" s="61"/>
      <c r="CF28" s="67">
        <f t="shared" si="14"/>
        <v>0</v>
      </c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</row>
    <row r="29" spans="1:116" ht="16" x14ac:dyDescent="0.2">
      <c r="A29" s="2" t="s">
        <v>60</v>
      </c>
      <c r="B29" s="2">
        <v>1</v>
      </c>
      <c r="C29" s="22" t="s">
        <v>59</v>
      </c>
      <c r="D29" s="2" t="s">
        <v>9</v>
      </c>
      <c r="E29" s="91">
        <f>_xlfn.XLOOKUP(C29,'[1]9M_CD'!$C:$C,'[1]9M_CD'!$I:$I,"")</f>
        <v>1</v>
      </c>
      <c r="F29" s="2">
        <v>1</v>
      </c>
      <c r="G29" s="97">
        <f t="shared" si="15"/>
        <v>100</v>
      </c>
      <c r="H29" s="30">
        <f t="shared" ref="H29:H35" si="19">I29*0.7</f>
        <v>70</v>
      </c>
      <c r="I29" s="33">
        <f t="shared" si="1"/>
        <v>100</v>
      </c>
      <c r="J29" s="33">
        <f t="shared" si="2"/>
        <v>120</v>
      </c>
      <c r="K29" s="57"/>
      <c r="L29" s="45">
        <v>1</v>
      </c>
      <c r="M29" s="7">
        <v>1</v>
      </c>
      <c r="N29" s="7">
        <v>1</v>
      </c>
      <c r="O29" s="7">
        <v>1</v>
      </c>
      <c r="P29" s="7">
        <v>1</v>
      </c>
      <c r="Q29" s="48">
        <f t="shared" si="3"/>
        <v>1</v>
      </c>
      <c r="R29" s="45">
        <v>1</v>
      </c>
      <c r="S29" s="7">
        <v>1</v>
      </c>
      <c r="T29" s="7">
        <v>1</v>
      </c>
      <c r="U29" s="7">
        <v>1</v>
      </c>
      <c r="V29" s="7">
        <v>1</v>
      </c>
      <c r="W29" s="48">
        <f t="shared" si="4"/>
        <v>1</v>
      </c>
      <c r="X29" s="45">
        <v>1</v>
      </c>
      <c r="Y29" s="7">
        <v>1</v>
      </c>
      <c r="Z29" s="7">
        <v>1</v>
      </c>
      <c r="AA29" s="7">
        <v>1</v>
      </c>
      <c r="AB29" s="7">
        <v>1</v>
      </c>
      <c r="AC29" s="48">
        <f t="shared" si="5"/>
        <v>1</v>
      </c>
      <c r="AD29" s="45">
        <v>1</v>
      </c>
      <c r="AE29" s="7">
        <v>1</v>
      </c>
      <c r="AF29" s="7">
        <v>1</v>
      </c>
      <c r="AG29" s="7">
        <v>1</v>
      </c>
      <c r="AH29" s="7">
        <v>1</v>
      </c>
      <c r="AI29" s="48">
        <f t="shared" si="6"/>
        <v>1</v>
      </c>
      <c r="AJ29" s="45">
        <v>1</v>
      </c>
      <c r="AK29" s="7">
        <v>1</v>
      </c>
      <c r="AL29" s="7">
        <v>1</v>
      </c>
      <c r="AM29" s="7">
        <v>1</v>
      </c>
      <c r="AN29" s="7">
        <v>1</v>
      </c>
      <c r="AO29" s="48">
        <f t="shared" si="7"/>
        <v>1</v>
      </c>
      <c r="AP29" s="45">
        <v>1</v>
      </c>
      <c r="AQ29" s="7">
        <v>1</v>
      </c>
      <c r="AR29" s="7">
        <v>1</v>
      </c>
      <c r="AS29" s="7">
        <v>1</v>
      </c>
      <c r="AT29" s="7">
        <v>1</v>
      </c>
      <c r="AU29" s="48">
        <f t="shared" si="8"/>
        <v>1</v>
      </c>
      <c r="AV29" s="45">
        <v>1</v>
      </c>
      <c r="AW29" s="7">
        <v>1</v>
      </c>
      <c r="AX29" s="7">
        <v>1</v>
      </c>
      <c r="AY29" s="7">
        <v>1</v>
      </c>
      <c r="AZ29" s="7">
        <v>1</v>
      </c>
      <c r="BA29" s="48">
        <f t="shared" si="9"/>
        <v>1</v>
      </c>
      <c r="BB29" s="45">
        <v>1</v>
      </c>
      <c r="BC29" s="7">
        <v>1</v>
      </c>
      <c r="BD29" s="7">
        <v>1</v>
      </c>
      <c r="BE29" s="7">
        <v>1</v>
      </c>
      <c r="BF29" s="7">
        <v>1</v>
      </c>
      <c r="BG29" s="48">
        <f t="shared" si="10"/>
        <v>1</v>
      </c>
      <c r="BH29" s="107"/>
      <c r="BI29" s="45"/>
      <c r="BJ29" s="7"/>
      <c r="BK29" s="7"/>
      <c r="BL29" s="7"/>
      <c r="BM29" s="7"/>
      <c r="BN29" s="48">
        <f t="shared" si="11"/>
        <v>0</v>
      </c>
      <c r="BO29" s="45"/>
      <c r="BP29" s="7"/>
      <c r="BQ29" s="7"/>
      <c r="BR29" s="7"/>
      <c r="BS29" s="7"/>
      <c r="BT29" s="48">
        <f t="shared" si="12"/>
        <v>0</v>
      </c>
      <c r="BU29" s="7"/>
      <c r="BV29" s="7"/>
      <c r="BW29" s="7"/>
      <c r="BX29" s="7"/>
      <c r="BY29" s="7"/>
      <c r="BZ29" s="48">
        <f t="shared" si="13"/>
        <v>0</v>
      </c>
      <c r="CA29" s="7"/>
      <c r="CB29" s="7"/>
      <c r="CC29" s="7"/>
      <c r="CD29" s="7"/>
      <c r="CE29" s="7"/>
      <c r="CF29" s="48">
        <f t="shared" si="14"/>
        <v>0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</row>
    <row r="30" spans="1:116" ht="16" x14ac:dyDescent="0.2">
      <c r="A30" s="3" t="s">
        <v>62</v>
      </c>
      <c r="B30" s="3">
        <v>1</v>
      </c>
      <c r="C30" s="21" t="s">
        <v>61</v>
      </c>
      <c r="D30" s="3" t="s">
        <v>9</v>
      </c>
      <c r="E30" s="91">
        <f>_xlfn.XLOOKUP(C30,'[1]9M_CD'!$C:$C,'[1]9M_CD'!$I:$I,"")</f>
        <v>1</v>
      </c>
      <c r="F30" s="3">
        <v>1</v>
      </c>
      <c r="G30" s="97">
        <f t="shared" si="15"/>
        <v>56.879999999999995</v>
      </c>
      <c r="H30" s="30">
        <f t="shared" si="19"/>
        <v>26.88</v>
      </c>
      <c r="I30" s="33">
        <f t="shared" si="1"/>
        <v>38.4</v>
      </c>
      <c r="J30" s="33">
        <f t="shared" si="2"/>
        <v>38.4</v>
      </c>
      <c r="K30" s="57"/>
      <c r="L30" s="44">
        <v>0</v>
      </c>
      <c r="M30" s="5">
        <v>0</v>
      </c>
      <c r="N30" s="5">
        <v>0</v>
      </c>
      <c r="O30" s="5">
        <v>0</v>
      </c>
      <c r="P30" s="5">
        <v>0</v>
      </c>
      <c r="Q30" s="48">
        <f t="shared" si="3"/>
        <v>0</v>
      </c>
      <c r="R30" s="44">
        <v>1</v>
      </c>
      <c r="S30" s="5">
        <v>0.8</v>
      </c>
      <c r="T30" s="5">
        <v>0.8</v>
      </c>
      <c r="U30" s="5">
        <v>0.8</v>
      </c>
      <c r="V30" s="5">
        <v>0.8</v>
      </c>
      <c r="W30" s="48">
        <f t="shared" si="4"/>
        <v>0.84000000000000008</v>
      </c>
      <c r="X30" s="44">
        <v>0</v>
      </c>
      <c r="Y30" s="5">
        <v>0</v>
      </c>
      <c r="Z30" s="5">
        <v>0</v>
      </c>
      <c r="AA30" s="5">
        <v>0</v>
      </c>
      <c r="AB30" s="5">
        <v>0</v>
      </c>
      <c r="AC30" s="48">
        <f t="shared" si="5"/>
        <v>0</v>
      </c>
      <c r="AD30" s="44">
        <v>0</v>
      </c>
      <c r="AE30" s="5">
        <v>0</v>
      </c>
      <c r="AF30" s="5">
        <v>0</v>
      </c>
      <c r="AG30" s="5">
        <v>0</v>
      </c>
      <c r="AH30" s="5">
        <v>0</v>
      </c>
      <c r="AI30" s="48">
        <f t="shared" si="6"/>
        <v>0</v>
      </c>
      <c r="AJ30" s="44">
        <v>1</v>
      </c>
      <c r="AK30" s="5">
        <v>1</v>
      </c>
      <c r="AL30" s="5">
        <v>1</v>
      </c>
      <c r="AM30" s="5">
        <v>1</v>
      </c>
      <c r="AN30" s="5">
        <v>1</v>
      </c>
      <c r="AO30" s="48">
        <f t="shared" si="7"/>
        <v>1</v>
      </c>
      <c r="AP30" s="44">
        <v>1</v>
      </c>
      <c r="AQ30" s="5">
        <v>1</v>
      </c>
      <c r="AR30" s="5">
        <v>1</v>
      </c>
      <c r="AS30" s="5">
        <v>1</v>
      </c>
      <c r="AT30" s="5">
        <v>1</v>
      </c>
      <c r="AU30" s="48">
        <f t="shared" si="8"/>
        <v>1</v>
      </c>
      <c r="AV30" s="44">
        <v>0</v>
      </c>
      <c r="AW30" s="5">
        <v>0</v>
      </c>
      <c r="AX30" s="5">
        <v>0</v>
      </c>
      <c r="AY30" s="5">
        <v>0</v>
      </c>
      <c r="AZ30" s="5">
        <v>0</v>
      </c>
      <c r="BA30" s="48">
        <f t="shared" si="9"/>
        <v>0</v>
      </c>
      <c r="BB30" s="44">
        <v>0</v>
      </c>
      <c r="BC30" s="5">
        <v>0</v>
      </c>
      <c r="BD30" s="5">
        <v>0</v>
      </c>
      <c r="BE30" s="5">
        <v>0</v>
      </c>
      <c r="BF30" s="5">
        <v>0</v>
      </c>
      <c r="BG30" s="48">
        <f t="shared" si="10"/>
        <v>0</v>
      </c>
      <c r="BH30" s="107"/>
      <c r="BI30" s="44"/>
      <c r="BJ30" s="5"/>
      <c r="BK30" s="5"/>
      <c r="BL30" s="5"/>
      <c r="BM30" s="5"/>
      <c r="BN30" s="48">
        <f t="shared" si="11"/>
        <v>0</v>
      </c>
      <c r="BO30" s="44"/>
      <c r="BP30" s="5"/>
      <c r="BQ30" s="5"/>
      <c r="BR30" s="5"/>
      <c r="BS30" s="5"/>
      <c r="BT30" s="48">
        <f t="shared" si="12"/>
        <v>0</v>
      </c>
      <c r="BU30" s="5"/>
      <c r="BV30" s="5"/>
      <c r="BW30" s="5"/>
      <c r="BX30" s="5"/>
      <c r="BY30" s="5"/>
      <c r="BZ30" s="48">
        <f t="shared" si="13"/>
        <v>0</v>
      </c>
      <c r="CA30" s="5"/>
      <c r="CB30" s="5"/>
      <c r="CC30" s="5"/>
      <c r="CD30" s="5"/>
      <c r="CE30" s="5"/>
      <c r="CF30" s="48">
        <f t="shared" si="14"/>
        <v>0</v>
      </c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</row>
    <row r="31" spans="1:116" ht="16" x14ac:dyDescent="0.2">
      <c r="A31" s="2" t="s">
        <v>64</v>
      </c>
      <c r="B31" s="2">
        <v>1</v>
      </c>
      <c r="C31" s="22" t="s">
        <v>63</v>
      </c>
      <c r="D31" s="2" t="s">
        <v>9</v>
      </c>
      <c r="E31" s="91">
        <f>_xlfn.XLOOKUP(C31,'[1]9M_CD'!$C:$C,'[1]9M_CD'!$I:$I,"")</f>
        <v>1</v>
      </c>
      <c r="F31" s="2">
        <v>1</v>
      </c>
      <c r="G31" s="97">
        <f t="shared" si="15"/>
        <v>41.9</v>
      </c>
      <c r="H31" s="30">
        <f t="shared" si="19"/>
        <v>11.899999999999999</v>
      </c>
      <c r="I31" s="33">
        <f t="shared" si="1"/>
        <v>17</v>
      </c>
      <c r="J31" s="33">
        <f t="shared" si="2"/>
        <v>17</v>
      </c>
      <c r="K31" s="57"/>
      <c r="L31" s="45">
        <v>0.5</v>
      </c>
      <c r="M31" s="7">
        <v>0</v>
      </c>
      <c r="N31" s="7">
        <v>0</v>
      </c>
      <c r="O31" s="7">
        <v>0</v>
      </c>
      <c r="P31" s="7">
        <v>0</v>
      </c>
      <c r="Q31" s="48">
        <f t="shared" si="3"/>
        <v>0.1</v>
      </c>
      <c r="R31" s="45">
        <v>0.5</v>
      </c>
      <c r="S31" s="7">
        <v>0</v>
      </c>
      <c r="T31" s="7">
        <v>0</v>
      </c>
      <c r="U31" s="7">
        <v>0</v>
      </c>
      <c r="V31" s="7">
        <v>0</v>
      </c>
      <c r="W31" s="48">
        <f t="shared" si="4"/>
        <v>0.1</v>
      </c>
      <c r="X31" s="45">
        <v>1</v>
      </c>
      <c r="Y31" s="7">
        <v>1</v>
      </c>
      <c r="Z31" s="7">
        <v>1</v>
      </c>
      <c r="AA31" s="7">
        <v>0</v>
      </c>
      <c r="AB31" s="7">
        <v>1</v>
      </c>
      <c r="AC31" s="48">
        <f t="shared" si="5"/>
        <v>0.8</v>
      </c>
      <c r="AD31" s="45">
        <v>0.5</v>
      </c>
      <c r="AE31" s="7">
        <v>0.5</v>
      </c>
      <c r="AF31" s="7">
        <v>0</v>
      </c>
      <c r="AG31" s="7">
        <v>0</v>
      </c>
      <c r="AH31" s="7">
        <v>0</v>
      </c>
      <c r="AI31" s="48">
        <f t="shared" si="6"/>
        <v>0.2</v>
      </c>
      <c r="AJ31" s="45">
        <v>0</v>
      </c>
      <c r="AK31" s="7">
        <v>0</v>
      </c>
      <c r="AL31" s="7">
        <v>0</v>
      </c>
      <c r="AM31" s="7">
        <v>0</v>
      </c>
      <c r="AN31" s="7">
        <v>0</v>
      </c>
      <c r="AO31" s="48">
        <f t="shared" si="7"/>
        <v>0</v>
      </c>
      <c r="AP31" s="45">
        <v>0</v>
      </c>
      <c r="AQ31" s="7">
        <v>0</v>
      </c>
      <c r="AR31" s="7">
        <v>0</v>
      </c>
      <c r="AS31" s="7">
        <v>0</v>
      </c>
      <c r="AT31" s="7">
        <v>0</v>
      </c>
      <c r="AU31" s="48">
        <f t="shared" si="8"/>
        <v>0</v>
      </c>
      <c r="AV31" s="45">
        <v>0</v>
      </c>
      <c r="AW31" s="7">
        <v>0</v>
      </c>
      <c r="AX31" s="7">
        <v>0</v>
      </c>
      <c r="AY31" s="7">
        <v>0</v>
      </c>
      <c r="AZ31" s="7">
        <v>0</v>
      </c>
      <c r="BA31" s="48">
        <f t="shared" si="9"/>
        <v>0</v>
      </c>
      <c r="BB31" s="45">
        <v>0</v>
      </c>
      <c r="BC31" s="7">
        <v>0</v>
      </c>
      <c r="BD31" s="7">
        <v>0</v>
      </c>
      <c r="BE31" s="7">
        <v>0</v>
      </c>
      <c r="BF31" s="7">
        <v>0</v>
      </c>
      <c r="BG31" s="48">
        <f t="shared" si="10"/>
        <v>0</v>
      </c>
      <c r="BH31" s="107"/>
      <c r="BI31" s="45"/>
      <c r="BJ31" s="7"/>
      <c r="BK31" s="7"/>
      <c r="BL31" s="7"/>
      <c r="BM31" s="7"/>
      <c r="BN31" s="48">
        <f t="shared" si="11"/>
        <v>0</v>
      </c>
      <c r="BO31" s="45"/>
      <c r="BP31" s="7"/>
      <c r="BQ31" s="7"/>
      <c r="BR31" s="7"/>
      <c r="BS31" s="7"/>
      <c r="BT31" s="48">
        <f t="shared" si="12"/>
        <v>0</v>
      </c>
      <c r="BU31" s="7"/>
      <c r="BV31" s="7"/>
      <c r="BW31" s="7"/>
      <c r="BX31" s="7">
        <v>1</v>
      </c>
      <c r="BY31" s="7"/>
      <c r="BZ31" s="48">
        <f t="shared" si="13"/>
        <v>0.2</v>
      </c>
      <c r="CA31" s="7"/>
      <c r="CB31" s="7"/>
      <c r="CC31" s="7"/>
      <c r="CD31" s="7">
        <v>1</v>
      </c>
      <c r="CE31" s="7"/>
      <c r="CF31" s="48">
        <f t="shared" si="14"/>
        <v>0.2</v>
      </c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</row>
    <row r="32" spans="1:116" ht="16" x14ac:dyDescent="0.2">
      <c r="A32" s="3" t="s">
        <v>66</v>
      </c>
      <c r="B32" s="3">
        <v>1</v>
      </c>
      <c r="C32" s="21" t="s">
        <v>65</v>
      </c>
      <c r="D32" s="3" t="s">
        <v>9</v>
      </c>
      <c r="E32" s="91">
        <f>_xlfn.XLOOKUP(C32,'[1]9M_CD'!$C:$C,'[1]9M_CD'!$I:$I,"")</f>
        <v>1</v>
      </c>
      <c r="F32" s="3">
        <v>1</v>
      </c>
      <c r="G32" s="97">
        <f t="shared" si="15"/>
        <v>54.36</v>
      </c>
      <c r="H32" s="30">
        <f t="shared" si="19"/>
        <v>24.359999999999996</v>
      </c>
      <c r="I32" s="33">
        <f t="shared" si="1"/>
        <v>34.799999999999997</v>
      </c>
      <c r="J32" s="33">
        <f t="shared" si="2"/>
        <v>34.799999999999997</v>
      </c>
      <c r="K32" s="57"/>
      <c r="L32" s="44">
        <v>0.8</v>
      </c>
      <c r="M32" s="5">
        <v>0.8</v>
      </c>
      <c r="N32" s="5">
        <v>0</v>
      </c>
      <c r="O32" s="5">
        <v>0</v>
      </c>
      <c r="P32" s="5">
        <v>0</v>
      </c>
      <c r="Q32" s="48">
        <f t="shared" si="3"/>
        <v>0.32</v>
      </c>
      <c r="R32" s="44">
        <v>0.5</v>
      </c>
      <c r="S32" s="5">
        <v>0.5</v>
      </c>
      <c r="T32" s="5">
        <v>0</v>
      </c>
      <c r="U32" s="5">
        <v>0</v>
      </c>
      <c r="V32" s="5">
        <v>0</v>
      </c>
      <c r="W32" s="48">
        <f t="shared" si="4"/>
        <v>0.2</v>
      </c>
      <c r="X32" s="44">
        <v>0</v>
      </c>
      <c r="Y32" s="5">
        <v>0</v>
      </c>
      <c r="Z32" s="5">
        <v>0</v>
      </c>
      <c r="AA32" s="5">
        <v>0</v>
      </c>
      <c r="AB32" s="5">
        <v>0</v>
      </c>
      <c r="AC32" s="48">
        <f t="shared" si="5"/>
        <v>0</v>
      </c>
      <c r="AD32" s="44">
        <v>0</v>
      </c>
      <c r="AE32" s="5">
        <v>0</v>
      </c>
      <c r="AF32" s="5">
        <v>0</v>
      </c>
      <c r="AG32" s="5">
        <v>0</v>
      </c>
      <c r="AH32" s="5">
        <v>0</v>
      </c>
      <c r="AI32" s="48">
        <f t="shared" si="6"/>
        <v>0</v>
      </c>
      <c r="AJ32" s="44">
        <v>0</v>
      </c>
      <c r="AK32" s="5">
        <v>0</v>
      </c>
      <c r="AL32" s="5">
        <v>0</v>
      </c>
      <c r="AM32" s="5">
        <v>0</v>
      </c>
      <c r="AN32" s="5">
        <v>0</v>
      </c>
      <c r="AO32" s="48">
        <f t="shared" si="7"/>
        <v>0</v>
      </c>
      <c r="AP32" s="44">
        <v>0</v>
      </c>
      <c r="AQ32" s="5">
        <v>0</v>
      </c>
      <c r="AR32" s="5">
        <v>0</v>
      </c>
      <c r="AS32" s="5">
        <v>0</v>
      </c>
      <c r="AT32" s="5">
        <v>0</v>
      </c>
      <c r="AU32" s="48">
        <f t="shared" si="8"/>
        <v>0</v>
      </c>
      <c r="AV32" s="44">
        <v>0.5</v>
      </c>
      <c r="AW32" s="5">
        <v>0.8</v>
      </c>
      <c r="AX32" s="5">
        <v>0.8</v>
      </c>
      <c r="AY32" s="5">
        <v>0.8</v>
      </c>
      <c r="AZ32" s="5">
        <v>0.8</v>
      </c>
      <c r="BA32" s="48">
        <f t="shared" si="9"/>
        <v>0.74</v>
      </c>
      <c r="BB32" s="44">
        <v>0.5</v>
      </c>
      <c r="BC32" s="5">
        <v>0.8</v>
      </c>
      <c r="BD32" s="5">
        <v>0.8</v>
      </c>
      <c r="BE32" s="5">
        <v>0.8</v>
      </c>
      <c r="BF32" s="5">
        <v>0.8</v>
      </c>
      <c r="BG32" s="48">
        <f t="shared" si="10"/>
        <v>0.74</v>
      </c>
      <c r="BH32" s="107"/>
      <c r="BI32" s="44"/>
      <c r="BJ32" s="5"/>
      <c r="BK32" s="5"/>
      <c r="BL32" s="5"/>
      <c r="BM32" s="5"/>
      <c r="BN32" s="48">
        <f t="shared" si="11"/>
        <v>0</v>
      </c>
      <c r="BO32" s="44"/>
      <c r="BP32" s="5"/>
      <c r="BQ32" s="5"/>
      <c r="BR32" s="5"/>
      <c r="BS32" s="5"/>
      <c r="BT32" s="48">
        <f t="shared" si="12"/>
        <v>0</v>
      </c>
      <c r="BU32" s="5"/>
      <c r="BV32" s="5"/>
      <c r="BW32" s="5"/>
      <c r="BX32" s="5"/>
      <c r="BY32" s="5"/>
      <c r="BZ32" s="48">
        <f t="shared" si="13"/>
        <v>0</v>
      </c>
      <c r="CA32" s="5"/>
      <c r="CB32" s="5"/>
      <c r="CC32" s="5"/>
      <c r="CD32" s="5"/>
      <c r="CE32" s="5"/>
      <c r="CF32" s="48">
        <f t="shared" si="14"/>
        <v>0</v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</row>
    <row r="33" spans="1:116" ht="16" x14ac:dyDescent="0.2">
      <c r="A33" s="2" t="s">
        <v>68</v>
      </c>
      <c r="B33" s="2">
        <v>1</v>
      </c>
      <c r="C33" s="22" t="s">
        <v>67</v>
      </c>
      <c r="D33" s="2" t="s">
        <v>9</v>
      </c>
      <c r="E33" s="91">
        <f>_xlfn.XLOOKUP(C33,'[1]9M_CD'!$C:$C,'[1]9M_CD'!$I:$I,"")</f>
        <v>1</v>
      </c>
      <c r="F33" s="2">
        <v>1</v>
      </c>
      <c r="G33" s="97">
        <f t="shared" si="15"/>
        <v>47.849999999999994</v>
      </c>
      <c r="H33" s="30">
        <f t="shared" si="19"/>
        <v>17.849999999999998</v>
      </c>
      <c r="I33" s="33">
        <f t="shared" si="1"/>
        <v>25.5</v>
      </c>
      <c r="J33" s="33">
        <f t="shared" si="2"/>
        <v>25.5</v>
      </c>
      <c r="K33" s="57"/>
      <c r="L33" s="45">
        <v>1</v>
      </c>
      <c r="M33" s="7">
        <v>1</v>
      </c>
      <c r="N33" s="7">
        <v>1</v>
      </c>
      <c r="O33" s="7">
        <v>1</v>
      </c>
      <c r="P33" s="7">
        <v>1</v>
      </c>
      <c r="Q33" s="48">
        <f t="shared" si="3"/>
        <v>1</v>
      </c>
      <c r="R33" s="45">
        <v>1</v>
      </c>
      <c r="S33" s="7">
        <v>1</v>
      </c>
      <c r="T33" s="7">
        <v>1</v>
      </c>
      <c r="U33" s="7">
        <v>1</v>
      </c>
      <c r="V33" s="7">
        <v>1</v>
      </c>
      <c r="W33" s="48">
        <f t="shared" si="4"/>
        <v>1</v>
      </c>
      <c r="X33" s="45">
        <v>0.25</v>
      </c>
      <c r="Y33" s="7">
        <v>0.25</v>
      </c>
      <c r="Z33" s="7">
        <v>0</v>
      </c>
      <c r="AA33" s="7">
        <v>0</v>
      </c>
      <c r="AB33" s="7">
        <v>0</v>
      </c>
      <c r="AC33" s="48">
        <f t="shared" si="5"/>
        <v>0.1</v>
      </c>
      <c r="AD33" s="45">
        <v>0</v>
      </c>
      <c r="AE33" s="7">
        <v>0</v>
      </c>
      <c r="AF33" s="7">
        <v>0</v>
      </c>
      <c r="AG33" s="7">
        <v>0</v>
      </c>
      <c r="AH33" s="7">
        <v>0</v>
      </c>
      <c r="AI33" s="48">
        <f t="shared" si="6"/>
        <v>0</v>
      </c>
      <c r="AJ33" s="45">
        <v>0</v>
      </c>
      <c r="AK33" s="7">
        <v>0</v>
      </c>
      <c r="AL33" s="7">
        <v>0</v>
      </c>
      <c r="AM33" s="7">
        <v>0</v>
      </c>
      <c r="AN33" s="7">
        <v>0</v>
      </c>
      <c r="AO33" s="48">
        <f t="shared" si="7"/>
        <v>0</v>
      </c>
      <c r="AP33" s="45">
        <v>0</v>
      </c>
      <c r="AQ33" s="7">
        <v>0</v>
      </c>
      <c r="AR33" s="7">
        <v>0</v>
      </c>
      <c r="AS33" s="7">
        <v>0</v>
      </c>
      <c r="AT33" s="7">
        <v>0</v>
      </c>
      <c r="AU33" s="48">
        <f t="shared" si="8"/>
        <v>0</v>
      </c>
      <c r="AV33" s="45">
        <v>0.5</v>
      </c>
      <c r="AW33" s="7">
        <v>0</v>
      </c>
      <c r="AX33" s="7">
        <v>0</v>
      </c>
      <c r="AY33" s="7">
        <v>0</v>
      </c>
      <c r="AZ33" s="7">
        <v>0</v>
      </c>
      <c r="BA33" s="48">
        <f t="shared" si="9"/>
        <v>0.1</v>
      </c>
      <c r="BB33" s="45">
        <v>0.5</v>
      </c>
      <c r="BC33" s="7">
        <v>0</v>
      </c>
      <c r="BD33" s="7">
        <v>0</v>
      </c>
      <c r="BE33" s="7">
        <v>0</v>
      </c>
      <c r="BF33" s="7">
        <v>0</v>
      </c>
      <c r="BG33" s="48">
        <f t="shared" si="10"/>
        <v>0.1</v>
      </c>
      <c r="BH33" s="107"/>
      <c r="BI33" s="45"/>
      <c r="BJ33" s="7"/>
      <c r="BK33" s="7"/>
      <c r="BL33" s="7"/>
      <c r="BM33" s="7"/>
      <c r="BN33" s="48">
        <f t="shared" si="11"/>
        <v>0</v>
      </c>
      <c r="BO33" s="45"/>
      <c r="BP33" s="7"/>
      <c r="BQ33" s="7"/>
      <c r="BR33" s="7"/>
      <c r="BS33" s="7"/>
      <c r="BT33" s="48">
        <f t="shared" si="12"/>
        <v>0</v>
      </c>
      <c r="BU33" s="7"/>
      <c r="BV33" s="7"/>
      <c r="BW33" s="7"/>
      <c r="BX33" s="7"/>
      <c r="BY33" s="7"/>
      <c r="BZ33" s="48">
        <f t="shared" si="13"/>
        <v>0</v>
      </c>
      <c r="CA33" s="7"/>
      <c r="CB33" s="7"/>
      <c r="CC33" s="7"/>
      <c r="CD33" s="7"/>
      <c r="CE33" s="7"/>
      <c r="CF33" s="48">
        <f t="shared" si="14"/>
        <v>0</v>
      </c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</row>
    <row r="34" spans="1:116" ht="16" x14ac:dyDescent="0.2">
      <c r="A34" s="3" t="s">
        <v>70</v>
      </c>
      <c r="B34" s="3">
        <v>1</v>
      </c>
      <c r="C34" s="21" t="s">
        <v>69</v>
      </c>
      <c r="D34" s="3" t="s">
        <v>9</v>
      </c>
      <c r="E34" s="91">
        <f>_xlfn.XLOOKUP(C34,'[1]9M_CD'!$C:$C,'[1]9M_CD'!$I:$I,"")</f>
        <v>1</v>
      </c>
      <c r="F34" s="3">
        <v>1</v>
      </c>
      <c r="G34" s="97">
        <f t="shared" si="15"/>
        <v>47.5</v>
      </c>
      <c r="H34" s="30">
        <f t="shared" si="19"/>
        <v>17.5</v>
      </c>
      <c r="I34" s="33">
        <f t="shared" si="1"/>
        <v>25</v>
      </c>
      <c r="J34" s="33">
        <f t="shared" si="2"/>
        <v>25</v>
      </c>
      <c r="K34" s="57"/>
      <c r="L34" s="44">
        <v>0.5</v>
      </c>
      <c r="M34" s="5">
        <v>0.5</v>
      </c>
      <c r="N34" s="5">
        <v>0</v>
      </c>
      <c r="O34" s="5">
        <v>0</v>
      </c>
      <c r="P34" s="5">
        <v>0</v>
      </c>
      <c r="Q34" s="48">
        <f t="shared" si="3"/>
        <v>0.2</v>
      </c>
      <c r="R34" s="44">
        <v>0.5</v>
      </c>
      <c r="S34" s="5">
        <v>0.5</v>
      </c>
      <c r="T34" s="5">
        <v>0</v>
      </c>
      <c r="U34" s="5">
        <v>0</v>
      </c>
      <c r="V34" s="5">
        <v>0</v>
      </c>
      <c r="W34" s="48">
        <f t="shared" si="4"/>
        <v>0.2</v>
      </c>
      <c r="X34" s="44">
        <v>0</v>
      </c>
      <c r="Y34" s="5">
        <v>0</v>
      </c>
      <c r="Z34" s="5">
        <v>0</v>
      </c>
      <c r="AA34" s="5">
        <v>0</v>
      </c>
      <c r="AB34" s="5">
        <v>0</v>
      </c>
      <c r="AC34" s="48">
        <f t="shared" si="5"/>
        <v>0</v>
      </c>
      <c r="AD34" s="44">
        <v>0</v>
      </c>
      <c r="AE34" s="5">
        <v>0</v>
      </c>
      <c r="AF34" s="5">
        <v>0</v>
      </c>
      <c r="AG34" s="5">
        <v>0</v>
      </c>
      <c r="AH34" s="5">
        <v>0</v>
      </c>
      <c r="AI34" s="48">
        <f t="shared" si="6"/>
        <v>0</v>
      </c>
      <c r="AJ34" s="44">
        <v>0</v>
      </c>
      <c r="AK34" s="5">
        <v>0</v>
      </c>
      <c r="AL34" s="5">
        <v>0</v>
      </c>
      <c r="AM34" s="5">
        <v>0</v>
      </c>
      <c r="AN34" s="5">
        <v>0</v>
      </c>
      <c r="AO34" s="48">
        <f t="shared" si="7"/>
        <v>0</v>
      </c>
      <c r="AP34" s="44">
        <v>0</v>
      </c>
      <c r="AQ34" s="5">
        <v>0</v>
      </c>
      <c r="AR34" s="5">
        <v>0</v>
      </c>
      <c r="AS34" s="5">
        <v>0</v>
      </c>
      <c r="AT34" s="5">
        <v>0</v>
      </c>
      <c r="AU34" s="48">
        <f t="shared" si="8"/>
        <v>0</v>
      </c>
      <c r="AV34" s="44">
        <v>0.75</v>
      </c>
      <c r="AW34" s="5">
        <v>1</v>
      </c>
      <c r="AX34" s="5">
        <v>1</v>
      </c>
      <c r="AY34" s="5">
        <v>1</v>
      </c>
      <c r="AZ34" s="5">
        <v>1</v>
      </c>
      <c r="BA34" s="48">
        <f t="shared" si="9"/>
        <v>0.95</v>
      </c>
      <c r="BB34" s="44">
        <v>0</v>
      </c>
      <c r="BC34" s="5">
        <v>0.5</v>
      </c>
      <c r="BD34" s="5">
        <v>0</v>
      </c>
      <c r="BE34" s="5">
        <v>0</v>
      </c>
      <c r="BF34" s="5">
        <v>0</v>
      </c>
      <c r="BG34" s="48">
        <f t="shared" si="10"/>
        <v>0.1</v>
      </c>
      <c r="BH34" s="107"/>
      <c r="BI34" s="44"/>
      <c r="BJ34" s="5"/>
      <c r="BK34" s="5"/>
      <c r="BL34" s="5"/>
      <c r="BM34" s="5"/>
      <c r="BN34" s="48">
        <f t="shared" si="11"/>
        <v>0</v>
      </c>
      <c r="BO34" s="44"/>
      <c r="BP34" s="5"/>
      <c r="BQ34" s="5"/>
      <c r="BR34" s="5"/>
      <c r="BS34" s="5"/>
      <c r="BT34" s="48">
        <f t="shared" si="12"/>
        <v>0</v>
      </c>
      <c r="BU34" s="5"/>
      <c r="BV34" s="5"/>
      <c r="BW34" s="5"/>
      <c r="BX34" s="5"/>
      <c r="BY34" s="5"/>
      <c r="BZ34" s="48">
        <f t="shared" si="13"/>
        <v>0</v>
      </c>
      <c r="CA34" s="5"/>
      <c r="CB34" s="5"/>
      <c r="CC34" s="5"/>
      <c r="CD34" s="5"/>
      <c r="CE34" s="5"/>
      <c r="CF34" s="48">
        <f t="shared" si="14"/>
        <v>0</v>
      </c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</row>
    <row r="35" spans="1:116" ht="16" x14ac:dyDescent="0.2">
      <c r="C35" s="22" t="s">
        <v>71</v>
      </c>
      <c r="E35" s="91">
        <f>_xlfn.XLOOKUP(C35,'[1]9M_CD'!$C:$C,'[1]9M_CD'!$I:$I,"")</f>
        <v>1</v>
      </c>
      <c r="F35" s="94">
        <v>1</v>
      </c>
      <c r="G35" s="97">
        <f t="shared" si="15"/>
        <v>76.13</v>
      </c>
      <c r="H35" s="30">
        <f t="shared" si="19"/>
        <v>46.13</v>
      </c>
      <c r="I35" s="33">
        <f t="shared" ref="I35" si="20">IF(J35&gt;=100,100,J35)</f>
        <v>65.900000000000006</v>
      </c>
      <c r="J35" s="33">
        <f t="shared" ref="J35" si="21">Q35*10+W35*10+AC35*15+AI35*15+AO35*15+AU35*15+BA35*20+BG35*20+K35</f>
        <v>65.900000000000006</v>
      </c>
      <c r="K35" s="57"/>
      <c r="L35" s="45">
        <v>1</v>
      </c>
      <c r="M35" s="7">
        <v>0.75</v>
      </c>
      <c r="N35" s="7">
        <v>0.5</v>
      </c>
      <c r="O35" s="7">
        <v>0.5</v>
      </c>
      <c r="P35" s="7">
        <v>0.5</v>
      </c>
      <c r="Q35" s="48">
        <f t="shared" ref="Q35" si="22">AVERAGE(L35:P35)</f>
        <v>0.65</v>
      </c>
      <c r="R35" s="45">
        <v>1</v>
      </c>
      <c r="S35" s="7">
        <v>1</v>
      </c>
      <c r="T35" s="7">
        <v>1</v>
      </c>
      <c r="U35" s="7">
        <v>1</v>
      </c>
      <c r="V35" s="7">
        <v>1</v>
      </c>
      <c r="W35" s="48">
        <f t="shared" ref="W35" si="23">AVERAGE(R35:V35)</f>
        <v>1</v>
      </c>
      <c r="X35" s="45">
        <v>1</v>
      </c>
      <c r="Y35" s="7">
        <v>1</v>
      </c>
      <c r="Z35" s="7">
        <v>1</v>
      </c>
      <c r="AA35" s="7">
        <v>1</v>
      </c>
      <c r="AB35" s="7">
        <v>1</v>
      </c>
      <c r="AC35" s="48">
        <f t="shared" ref="AC35" si="24">AVERAGE(X35:AB35)</f>
        <v>1</v>
      </c>
      <c r="AD35" s="45">
        <v>0</v>
      </c>
      <c r="AE35" s="7">
        <v>0</v>
      </c>
      <c r="AF35" s="7">
        <v>0</v>
      </c>
      <c r="AG35" s="7">
        <v>0</v>
      </c>
      <c r="AH35" s="7">
        <v>0</v>
      </c>
      <c r="AI35" s="48">
        <f t="shared" ref="AI35" si="25">AVERAGE(AD35:AH35)</f>
        <v>0</v>
      </c>
      <c r="AJ35" s="45">
        <v>1</v>
      </c>
      <c r="AK35" s="7">
        <v>1</v>
      </c>
      <c r="AL35" s="7">
        <v>1</v>
      </c>
      <c r="AM35" s="7">
        <v>0</v>
      </c>
      <c r="AN35" s="7">
        <v>1</v>
      </c>
      <c r="AO35" s="48">
        <f t="shared" ref="AO35" si="26">AVERAGE(AJ35:AN35)</f>
        <v>0.8</v>
      </c>
      <c r="AP35" s="45">
        <v>0</v>
      </c>
      <c r="AQ35" s="7">
        <v>0</v>
      </c>
      <c r="AR35" s="7">
        <v>0</v>
      </c>
      <c r="AS35" s="7">
        <v>0</v>
      </c>
      <c r="AT35" s="7">
        <v>0</v>
      </c>
      <c r="AU35" s="48">
        <f t="shared" ref="AU35" si="27">AVERAGE(AP35:AT35)</f>
        <v>0</v>
      </c>
      <c r="AV35" s="45">
        <v>1</v>
      </c>
      <c r="AW35" s="7">
        <v>1</v>
      </c>
      <c r="AX35" s="7">
        <v>0.8</v>
      </c>
      <c r="AY35" s="7">
        <v>0</v>
      </c>
      <c r="AZ35" s="7">
        <v>0</v>
      </c>
      <c r="BA35" s="48">
        <f t="shared" ref="BA35" si="28">AVERAGE(AV35:AZ35)</f>
        <v>0.55999999999999994</v>
      </c>
      <c r="BB35" s="45">
        <v>1</v>
      </c>
      <c r="BC35" s="7">
        <v>1</v>
      </c>
      <c r="BD35" s="7">
        <v>0.8</v>
      </c>
      <c r="BE35" s="7">
        <v>0</v>
      </c>
      <c r="BF35" s="7">
        <v>0</v>
      </c>
      <c r="BG35" s="48">
        <f t="shared" ref="BG35" si="29">AVERAGE(BB35:BF35)</f>
        <v>0.55999999999999994</v>
      </c>
      <c r="BI35" s="45"/>
      <c r="BJ35" s="7"/>
      <c r="BK35" s="7"/>
      <c r="BL35" s="7"/>
      <c r="BM35" s="7"/>
    </row>
  </sheetData>
  <mergeCells count="16">
    <mergeCell ref="L1:N1"/>
    <mergeCell ref="BH1:BH3"/>
    <mergeCell ref="J2:J3"/>
    <mergeCell ref="L2:Q2"/>
    <mergeCell ref="R2:W2"/>
    <mergeCell ref="X2:AC2"/>
    <mergeCell ref="AD2:AI2"/>
    <mergeCell ref="AJ2:AO2"/>
    <mergeCell ref="AP2:AU2"/>
    <mergeCell ref="AV2:BA2"/>
    <mergeCell ref="BB2:BG2"/>
    <mergeCell ref="BI2:BN2"/>
    <mergeCell ref="BO2:BT2"/>
    <mergeCell ref="BU2:BZ2"/>
    <mergeCell ref="CA2:CF2"/>
    <mergeCell ref="BH4:BH3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1:DL41"/>
  <sheetViews>
    <sheetView topLeftCell="C2" zoomScale="125" workbookViewId="0">
      <pane xSplit="13" ySplit="12" topLeftCell="P14" activePane="bottomRight" state="frozen"/>
      <selection activeCell="C2" sqref="C2"/>
      <selection pane="topRight" activeCell="O2" sqref="O2"/>
      <selection pane="bottomLeft" activeCell="C14" sqref="C14"/>
      <selection pane="bottomRight" activeCell="L2" sqref="L1:L1048576"/>
    </sheetView>
  </sheetViews>
  <sheetFormatPr baseColWidth="10" defaultColWidth="8.83203125" defaultRowHeight="15" x14ac:dyDescent="0.2"/>
  <cols>
    <col min="1" max="1" width="11.1640625" style="4" hidden="1" customWidth="1"/>
    <col min="2" max="2" width="9" style="4" hidden="1" customWidth="1"/>
    <col min="3" max="3" width="28.6640625" style="15" customWidth="1"/>
    <col min="4" max="4" width="8.33203125" style="4" hidden="1" customWidth="1"/>
    <col min="5" max="6" width="6.5" style="4" hidden="1" customWidth="1"/>
    <col min="7" max="7" width="7.1640625" style="4" hidden="1" customWidth="1"/>
    <col min="8" max="9" width="8.83203125" style="4" hidden="1" customWidth="1"/>
    <col min="10" max="11" width="10.83203125" style="4" customWidth="1"/>
    <col min="12" max="12" width="10.83203125" style="82" customWidth="1"/>
    <col min="13" max="16" width="14.33203125" style="4" customWidth="1"/>
    <col min="17" max="17" width="13" style="4" customWidth="1"/>
    <col min="18" max="18" width="14" style="4" customWidth="1"/>
    <col min="19" max="21" width="8.83203125" style="4"/>
    <col min="22" max="22" width="9.83203125" style="4" bestFit="1" customWidth="1"/>
    <col min="23" max="23" width="12.5" style="4" customWidth="1"/>
    <col min="24" max="24" width="10.83203125" style="4" bestFit="1" customWidth="1"/>
    <col min="25" max="25" width="9" style="4" bestFit="1" customWidth="1"/>
    <col min="26" max="28" width="8.83203125" style="4"/>
    <col min="29" max="29" width="12.5" style="4" customWidth="1"/>
    <col min="30" max="30" width="10.83203125" style="4" bestFit="1" customWidth="1"/>
    <col min="31" max="31" width="9" style="4" bestFit="1" customWidth="1"/>
    <col min="32" max="34" width="8.83203125" style="4"/>
    <col min="35" max="35" width="12.5" style="4" customWidth="1"/>
    <col min="36" max="36" width="10.83203125" style="4" bestFit="1" customWidth="1"/>
    <col min="37" max="37" width="9" style="4" bestFit="1" customWidth="1"/>
    <col min="38" max="40" width="8.83203125" style="4"/>
    <col min="41" max="41" width="12.5" style="4" customWidth="1"/>
    <col min="42" max="42" width="10.83203125" style="4" bestFit="1" customWidth="1"/>
    <col min="43" max="43" width="9" style="4" bestFit="1" customWidth="1"/>
    <col min="44" max="46" width="8.83203125" style="4"/>
    <col min="47" max="47" width="12.5" style="4" customWidth="1"/>
    <col min="48" max="48" width="10.83203125" style="4" bestFit="1" customWidth="1"/>
    <col min="49" max="49" width="9" style="4" bestFit="1" customWidth="1"/>
    <col min="50" max="52" width="8.83203125" style="4"/>
    <col min="53" max="53" width="12.5" style="4" customWidth="1"/>
    <col min="54" max="54" width="10.83203125" style="4" bestFit="1" customWidth="1"/>
    <col min="55" max="55" width="9" style="4" bestFit="1" customWidth="1"/>
    <col min="56" max="58" width="8.83203125" style="4"/>
    <col min="59" max="59" width="12.5" style="4" customWidth="1"/>
    <col min="60" max="60" width="10.83203125" style="4" bestFit="1" customWidth="1"/>
    <col min="61" max="61" width="9" style="4" bestFit="1" customWidth="1"/>
    <col min="62" max="64" width="8.83203125" style="4"/>
    <col min="65" max="65" width="3.33203125" style="4" bestFit="1" customWidth="1"/>
    <col min="66" max="66" width="12.5" style="4" customWidth="1"/>
    <col min="67" max="67" width="10.83203125" style="4" bestFit="1" customWidth="1"/>
    <col min="68" max="68" width="9" style="4" bestFit="1" customWidth="1"/>
    <col min="69" max="71" width="8.83203125" style="4"/>
    <col min="72" max="72" width="12.5" style="4" customWidth="1"/>
    <col min="73" max="73" width="10.83203125" style="4" bestFit="1" customWidth="1"/>
    <col min="74" max="74" width="9" style="4" bestFit="1" customWidth="1"/>
    <col min="75" max="77" width="8.83203125" style="4"/>
    <col min="78" max="78" width="12.5" style="4" customWidth="1"/>
    <col min="79" max="79" width="10.83203125" style="4" bestFit="1" customWidth="1"/>
    <col min="80" max="80" width="9" style="4" bestFit="1" customWidth="1"/>
    <col min="81" max="83" width="8.83203125" style="4"/>
    <col min="84" max="84" width="12.5" style="4" customWidth="1"/>
    <col min="85" max="85" width="10.83203125" style="4" bestFit="1" customWidth="1"/>
    <col min="86" max="86" width="10.83203125" style="4" customWidth="1"/>
    <col min="87" max="16384" width="8.83203125" style="4"/>
  </cols>
  <sheetData>
    <row r="1" spans="1:116" ht="15" hidden="1" customHeight="1" thickBot="1" x14ac:dyDescent="0.25">
      <c r="C1" s="15" t="s">
        <v>0</v>
      </c>
    </row>
    <row r="2" spans="1:116" ht="32" x14ac:dyDescent="0.2">
      <c r="J2" s="18"/>
      <c r="K2" s="18"/>
      <c r="L2" s="18"/>
      <c r="M2" s="9"/>
      <c r="N2" s="52"/>
      <c r="O2" s="31" t="s">
        <v>758</v>
      </c>
      <c r="P2" s="36"/>
      <c r="Q2" s="37" t="s">
        <v>759</v>
      </c>
      <c r="R2" s="38"/>
      <c r="S2" s="38"/>
      <c r="T2" s="38"/>
      <c r="U2" s="38"/>
      <c r="V2" s="39"/>
      <c r="W2" s="40" t="s">
        <v>760</v>
      </c>
      <c r="X2" s="38"/>
      <c r="Y2" s="38"/>
      <c r="Z2" s="38"/>
      <c r="AA2" s="38"/>
      <c r="AB2" s="41"/>
      <c r="AC2" s="37" t="s">
        <v>761</v>
      </c>
      <c r="AD2" s="38"/>
      <c r="AE2" s="38"/>
      <c r="AF2" s="38"/>
      <c r="AG2" s="38"/>
      <c r="AH2" s="38"/>
      <c r="AI2" s="40" t="s">
        <v>762</v>
      </c>
      <c r="AJ2" s="38"/>
      <c r="AK2" s="38"/>
      <c r="AL2" s="38"/>
      <c r="AM2" s="38"/>
      <c r="AN2" s="41"/>
      <c r="AO2" s="27" t="s">
        <v>765</v>
      </c>
      <c r="AP2" s="27"/>
      <c r="AQ2" s="27"/>
      <c r="AR2" s="27"/>
      <c r="AS2" s="27"/>
      <c r="AT2" s="27"/>
      <c r="AU2" s="26" t="s">
        <v>766</v>
      </c>
      <c r="AV2" s="27"/>
      <c r="AW2" s="27"/>
      <c r="AX2" s="27"/>
      <c r="AY2" s="27"/>
      <c r="AZ2" s="27"/>
      <c r="BA2" s="26" t="s">
        <v>767</v>
      </c>
      <c r="BB2" s="27"/>
      <c r="BC2" s="27"/>
      <c r="BD2" s="27"/>
      <c r="BE2" s="27"/>
      <c r="BF2" s="27"/>
      <c r="BG2" s="26" t="s">
        <v>768</v>
      </c>
      <c r="BH2" s="27"/>
      <c r="BI2" s="27"/>
      <c r="BJ2" s="27"/>
      <c r="BK2" s="27"/>
      <c r="BL2" s="27"/>
      <c r="BM2" s="49"/>
      <c r="BN2" s="26" t="s">
        <v>756</v>
      </c>
      <c r="BO2" s="27"/>
      <c r="BP2" s="27"/>
      <c r="BQ2" s="27"/>
      <c r="BR2" s="27"/>
      <c r="BS2" s="27"/>
      <c r="BT2" s="26" t="s">
        <v>756</v>
      </c>
      <c r="BU2" s="27"/>
      <c r="BV2" s="27"/>
      <c r="BW2" s="27"/>
      <c r="BX2" s="27"/>
      <c r="BY2" s="27"/>
      <c r="BZ2" s="26" t="s">
        <v>756</v>
      </c>
      <c r="CA2" s="27"/>
      <c r="CB2" s="27"/>
      <c r="CC2" s="27"/>
      <c r="CD2" s="27"/>
      <c r="CE2" s="27"/>
      <c r="CF2" s="26" t="s">
        <v>756</v>
      </c>
      <c r="CG2" s="27"/>
      <c r="CH2" s="27"/>
      <c r="CI2" s="27"/>
      <c r="CJ2" s="27"/>
      <c r="CK2" s="27"/>
    </row>
    <row r="3" spans="1:116" ht="48" x14ac:dyDescent="0.2">
      <c r="A3" s="9" t="s">
        <v>1</v>
      </c>
      <c r="B3" s="9" t="s">
        <v>2</v>
      </c>
      <c r="C3" s="12" t="s">
        <v>3</v>
      </c>
      <c r="D3" s="9" t="s">
        <v>4</v>
      </c>
      <c r="E3" s="18" t="s">
        <v>741</v>
      </c>
      <c r="F3" s="18" t="s">
        <v>742</v>
      </c>
      <c r="G3" s="9" t="s">
        <v>740</v>
      </c>
      <c r="H3" s="18" t="s">
        <v>745</v>
      </c>
      <c r="I3" s="18" t="s">
        <v>744</v>
      </c>
      <c r="J3" s="9" t="s">
        <v>773</v>
      </c>
      <c r="K3" s="9" t="s">
        <v>774</v>
      </c>
      <c r="L3" s="18" t="s">
        <v>779</v>
      </c>
      <c r="M3" s="9" t="s">
        <v>757</v>
      </c>
      <c r="N3" s="24" t="s">
        <v>770</v>
      </c>
      <c r="O3" s="32"/>
      <c r="P3" s="56" t="s">
        <v>772</v>
      </c>
      <c r="Q3" s="42" t="s">
        <v>752</v>
      </c>
      <c r="R3" s="9" t="s">
        <v>753</v>
      </c>
      <c r="S3" s="9" t="s">
        <v>754</v>
      </c>
      <c r="T3" s="9" t="s">
        <v>763</v>
      </c>
      <c r="U3" s="18" t="s">
        <v>771</v>
      </c>
      <c r="V3" s="9" t="s">
        <v>755</v>
      </c>
      <c r="W3" s="18" t="s">
        <v>752</v>
      </c>
      <c r="X3" s="9" t="s">
        <v>753</v>
      </c>
      <c r="Y3" s="9" t="s">
        <v>754</v>
      </c>
      <c r="Z3" s="9" t="s">
        <v>763</v>
      </c>
      <c r="AA3" s="18" t="s">
        <v>771</v>
      </c>
      <c r="AB3" s="43" t="s">
        <v>755</v>
      </c>
      <c r="AC3" s="42" t="s">
        <v>752</v>
      </c>
      <c r="AD3" s="9" t="s">
        <v>753</v>
      </c>
      <c r="AE3" s="9" t="s">
        <v>754</v>
      </c>
      <c r="AF3" s="9" t="s">
        <v>763</v>
      </c>
      <c r="AG3" s="18" t="s">
        <v>771</v>
      </c>
      <c r="AH3" s="9" t="s">
        <v>755</v>
      </c>
      <c r="AI3" s="18" t="s">
        <v>752</v>
      </c>
      <c r="AJ3" s="9" t="s">
        <v>753</v>
      </c>
      <c r="AK3" s="9" t="s">
        <v>754</v>
      </c>
      <c r="AL3" s="9" t="s">
        <v>763</v>
      </c>
      <c r="AM3" s="18" t="s">
        <v>771</v>
      </c>
      <c r="AN3" s="43" t="s">
        <v>755</v>
      </c>
      <c r="AO3" s="28" t="s">
        <v>752</v>
      </c>
      <c r="AP3" s="9" t="s">
        <v>753</v>
      </c>
      <c r="AQ3" s="9" t="s">
        <v>754</v>
      </c>
      <c r="AR3" s="9" t="s">
        <v>763</v>
      </c>
      <c r="AS3" s="18" t="s">
        <v>771</v>
      </c>
      <c r="AT3" s="9" t="s">
        <v>755</v>
      </c>
      <c r="AU3" s="18" t="s">
        <v>752</v>
      </c>
      <c r="AV3" s="9" t="s">
        <v>753</v>
      </c>
      <c r="AW3" s="9" t="s">
        <v>754</v>
      </c>
      <c r="AX3" s="9" t="s">
        <v>763</v>
      </c>
      <c r="AY3" s="18" t="s">
        <v>771</v>
      </c>
      <c r="AZ3" s="9" t="s">
        <v>755</v>
      </c>
      <c r="BA3" s="18" t="s">
        <v>752</v>
      </c>
      <c r="BB3" s="9" t="s">
        <v>753</v>
      </c>
      <c r="BC3" s="9" t="s">
        <v>754</v>
      </c>
      <c r="BD3" s="9" t="s">
        <v>763</v>
      </c>
      <c r="BE3" s="18" t="s">
        <v>771</v>
      </c>
      <c r="BF3" s="9" t="s">
        <v>755</v>
      </c>
      <c r="BG3" s="18" t="s">
        <v>752</v>
      </c>
      <c r="BH3" s="9" t="s">
        <v>753</v>
      </c>
      <c r="BI3" s="9" t="s">
        <v>754</v>
      </c>
      <c r="BJ3" s="9" t="s">
        <v>763</v>
      </c>
      <c r="BK3" s="18" t="s">
        <v>771</v>
      </c>
      <c r="BL3" s="9" t="s">
        <v>755</v>
      </c>
      <c r="BM3" s="50"/>
      <c r="BN3" s="18" t="s">
        <v>752</v>
      </c>
      <c r="BO3" s="9" t="s">
        <v>753</v>
      </c>
      <c r="BP3" s="9" t="s">
        <v>754</v>
      </c>
      <c r="BQ3" s="9" t="s">
        <v>763</v>
      </c>
      <c r="BR3" s="9" t="s">
        <v>764</v>
      </c>
      <c r="BS3" s="9" t="s">
        <v>755</v>
      </c>
      <c r="BT3" s="18" t="s">
        <v>752</v>
      </c>
      <c r="BU3" s="9" t="s">
        <v>753</v>
      </c>
      <c r="BV3" s="9" t="s">
        <v>754</v>
      </c>
      <c r="BW3" s="9" t="s">
        <v>763</v>
      </c>
      <c r="BX3" s="9" t="s">
        <v>764</v>
      </c>
      <c r="BY3" s="9" t="s">
        <v>755</v>
      </c>
      <c r="BZ3" s="18" t="s">
        <v>752</v>
      </c>
      <c r="CA3" s="9" t="s">
        <v>753</v>
      </c>
      <c r="CB3" s="9" t="s">
        <v>754</v>
      </c>
      <c r="CC3" s="9" t="s">
        <v>763</v>
      </c>
      <c r="CD3" s="9" t="s">
        <v>764</v>
      </c>
      <c r="CE3" s="9" t="s">
        <v>755</v>
      </c>
      <c r="CF3" s="18" t="s">
        <v>752</v>
      </c>
      <c r="CG3" s="9" t="s">
        <v>753</v>
      </c>
      <c r="CH3" s="9" t="s">
        <v>754</v>
      </c>
      <c r="CI3" s="9" t="s">
        <v>763</v>
      </c>
      <c r="CJ3" s="9" t="s">
        <v>764</v>
      </c>
      <c r="CK3" s="9" t="s">
        <v>755</v>
      </c>
    </row>
    <row r="4" spans="1:116" ht="16" x14ac:dyDescent="0.2">
      <c r="A4" s="5" t="s">
        <v>146</v>
      </c>
      <c r="B4" s="5">
        <v>1</v>
      </c>
      <c r="C4" s="13" t="s">
        <v>145</v>
      </c>
      <c r="D4" s="5" t="s">
        <v>72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9">
        <v>1</v>
      </c>
      <c r="K4" s="59">
        <f>_xlfn.XLOOKUP(C4,'[1]4B_CD'!$C:$C,'[1]4B_CD'!$J:$J,"")</f>
        <v>1</v>
      </c>
      <c r="L4" s="95">
        <f>M4+J4*20+K4*10</f>
        <v>83.55</v>
      </c>
      <c r="M4" s="30">
        <f>N4*0.7</f>
        <v>53.55</v>
      </c>
      <c r="N4" s="33">
        <f>IF(O4&gt;=100,100,O4)</f>
        <v>76.5</v>
      </c>
      <c r="O4" s="33">
        <f>V4*10+AB4*10+AH4*15+AN4*15+AT4*15+AZ4*15+BF4*20+BL4*20+P4</f>
        <v>76.5</v>
      </c>
      <c r="P4" s="57">
        <f>15*BS4</f>
        <v>3</v>
      </c>
      <c r="Q4" s="44">
        <v>1</v>
      </c>
      <c r="R4" s="5">
        <v>1</v>
      </c>
      <c r="S4" s="5">
        <v>1</v>
      </c>
      <c r="T4" s="5">
        <v>1</v>
      </c>
      <c r="U4" s="5">
        <v>1</v>
      </c>
      <c r="V4" s="48">
        <f>AVERAGE(Q4:U4)</f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48">
        <f>AVERAGE(W4:AA4)</f>
        <v>1</v>
      </c>
      <c r="AC4" s="44">
        <v>1</v>
      </c>
      <c r="AD4" s="5">
        <v>1</v>
      </c>
      <c r="AE4" s="5">
        <v>1</v>
      </c>
      <c r="AF4" s="5">
        <v>1</v>
      </c>
      <c r="AG4" s="5">
        <v>1</v>
      </c>
      <c r="AH4" s="48">
        <f>AVERAGE(AC4:AG4)</f>
        <v>1</v>
      </c>
      <c r="AI4" s="5">
        <v>1</v>
      </c>
      <c r="AJ4" s="5">
        <v>0.75</v>
      </c>
      <c r="AK4" s="5">
        <v>0.75</v>
      </c>
      <c r="AL4" s="5">
        <v>0.5</v>
      </c>
      <c r="AM4" s="5">
        <v>0.5</v>
      </c>
      <c r="AN4" s="48">
        <f>AVERAGE(AI4:AM4)</f>
        <v>0.7</v>
      </c>
      <c r="AO4" s="34">
        <v>1</v>
      </c>
      <c r="AP4" s="5">
        <v>1</v>
      </c>
      <c r="AQ4" s="5">
        <v>1</v>
      </c>
      <c r="AR4" s="5">
        <v>1</v>
      </c>
      <c r="AS4" s="5">
        <v>1</v>
      </c>
      <c r="AT4" s="48">
        <f>AVERAGE(AO4:AS4)</f>
        <v>1</v>
      </c>
      <c r="AU4" s="5">
        <v>1</v>
      </c>
      <c r="AV4" s="5">
        <v>0.75</v>
      </c>
      <c r="AW4" s="5">
        <v>0.75</v>
      </c>
      <c r="AX4" s="5">
        <v>0.75</v>
      </c>
      <c r="AY4" s="5">
        <v>0.75</v>
      </c>
      <c r="AZ4" s="48">
        <f>AVERAGE(AU4:AY4)</f>
        <v>0.8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48">
        <f>AVERAGE(BA4:BE4)</f>
        <v>0</v>
      </c>
      <c r="BG4" s="5">
        <v>0.25</v>
      </c>
      <c r="BH4" s="5">
        <v>0</v>
      </c>
      <c r="BI4" s="5">
        <v>0</v>
      </c>
      <c r="BJ4" s="5">
        <v>0</v>
      </c>
      <c r="BK4" s="5">
        <v>0</v>
      </c>
      <c r="BL4" s="48">
        <f>AVERAGE(BG4:BK4)</f>
        <v>0.05</v>
      </c>
      <c r="BM4" s="54"/>
      <c r="BN4" s="5">
        <v>0.5</v>
      </c>
      <c r="BO4" s="5">
        <v>0.5</v>
      </c>
      <c r="BP4" s="5">
        <v>0</v>
      </c>
      <c r="BQ4" s="5">
        <v>0</v>
      </c>
      <c r="BR4" s="5">
        <v>0</v>
      </c>
      <c r="BS4" s="48">
        <f>SUM(BN4:BR4)/5</f>
        <v>0.2</v>
      </c>
      <c r="BT4" s="5"/>
      <c r="BU4" s="5"/>
      <c r="BV4" s="5"/>
      <c r="BW4" s="5"/>
      <c r="BX4" s="5"/>
      <c r="BY4" s="48">
        <f>SUM(BT4:BX4)/5</f>
        <v>0</v>
      </c>
      <c r="BZ4" s="5"/>
      <c r="CA4" s="5"/>
      <c r="CB4" s="5"/>
      <c r="CC4" s="5"/>
      <c r="CD4" s="5"/>
      <c r="CE4" s="48">
        <f>SUM(BZ4:CD4)/5</f>
        <v>0</v>
      </c>
      <c r="CF4" s="5"/>
      <c r="CG4" s="5"/>
      <c r="CH4" s="5"/>
      <c r="CI4" s="5"/>
      <c r="CJ4" s="5"/>
      <c r="CK4" s="48">
        <f>SUM(CF4:CJ4)/5</f>
        <v>0</v>
      </c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</row>
    <row r="5" spans="1:116" ht="16" x14ac:dyDescent="0.2">
      <c r="A5" s="7" t="s">
        <v>144</v>
      </c>
      <c r="B5" s="7">
        <v>1</v>
      </c>
      <c r="C5" s="14" t="s">
        <v>143</v>
      </c>
      <c r="D5" s="7" t="s">
        <v>72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59">
        <v>1</v>
      </c>
      <c r="K5" s="59">
        <f>_xlfn.XLOOKUP(C5,'[1]4B_CD'!$C:$C,'[1]4B_CD'!$J:$J,"")</f>
        <v>1</v>
      </c>
      <c r="L5" s="95">
        <f t="shared" ref="L5:L41" si="0">M5+J5*20+K5*10</f>
        <v>94.96</v>
      </c>
      <c r="M5" s="30">
        <f t="shared" ref="M5:M41" si="1">N5*0.7</f>
        <v>64.959999999999994</v>
      </c>
      <c r="N5" s="33">
        <f t="shared" ref="N5:N40" si="2">IF(O5&gt;=100,100,O5)</f>
        <v>92.8</v>
      </c>
      <c r="O5" s="33">
        <f t="shared" ref="O5:O39" si="3">V5*10+AB5*10+AH5*15+AN5*15+AT5*15+AZ5*15+BF5*20+BL5*20+P5</f>
        <v>92.8</v>
      </c>
      <c r="P5" s="57"/>
      <c r="Q5" s="45">
        <v>1</v>
      </c>
      <c r="R5" s="7">
        <v>1</v>
      </c>
      <c r="S5" s="7">
        <v>1</v>
      </c>
      <c r="T5" s="7">
        <v>1</v>
      </c>
      <c r="U5" s="7">
        <v>1</v>
      </c>
      <c r="V5" s="48">
        <f t="shared" ref="V5:V39" si="4">AVERAGE(Q5:U5)</f>
        <v>1</v>
      </c>
      <c r="W5" s="7">
        <v>1</v>
      </c>
      <c r="X5" s="7">
        <v>1</v>
      </c>
      <c r="Y5" s="7">
        <v>1</v>
      </c>
      <c r="Z5" s="7">
        <v>1</v>
      </c>
      <c r="AA5" s="7">
        <v>1</v>
      </c>
      <c r="AB5" s="48">
        <f t="shared" ref="AB5:AB39" si="5">AVERAGE(W5:AA5)</f>
        <v>1</v>
      </c>
      <c r="AC5" s="45">
        <v>1</v>
      </c>
      <c r="AD5" s="7">
        <v>0.8</v>
      </c>
      <c r="AE5" s="7">
        <v>0.8</v>
      </c>
      <c r="AF5" s="7">
        <v>0.8</v>
      </c>
      <c r="AG5" s="7">
        <v>0.8</v>
      </c>
      <c r="AH5" s="48">
        <f t="shared" ref="AH5:AH39" si="6">AVERAGE(AC5:AG5)</f>
        <v>0.84000000000000008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  <c r="AN5" s="48">
        <f t="shared" ref="AN5:AN39" si="7">AVERAGE(AI5:AM5)</f>
        <v>1</v>
      </c>
      <c r="AO5" s="35">
        <v>1</v>
      </c>
      <c r="AP5" s="7">
        <v>1</v>
      </c>
      <c r="AQ5" s="7">
        <v>1</v>
      </c>
      <c r="AR5" s="7">
        <v>1</v>
      </c>
      <c r="AS5" s="7">
        <v>1</v>
      </c>
      <c r="AT5" s="48">
        <f t="shared" ref="AT5:AT39" si="8">AVERAGE(AO5:AS5)</f>
        <v>1</v>
      </c>
      <c r="AU5" s="7">
        <v>1</v>
      </c>
      <c r="AV5" s="7">
        <v>1</v>
      </c>
      <c r="AW5" s="7">
        <v>1</v>
      </c>
      <c r="AX5" s="7">
        <v>1</v>
      </c>
      <c r="AY5" s="7">
        <v>1</v>
      </c>
      <c r="AZ5" s="48">
        <f t="shared" ref="AZ5:AZ39" si="9">AVERAGE(AU5:AY5)</f>
        <v>1</v>
      </c>
      <c r="BA5" s="7">
        <v>0.8</v>
      </c>
      <c r="BB5" s="7">
        <v>1</v>
      </c>
      <c r="BC5" s="7">
        <v>0.8</v>
      </c>
      <c r="BD5" s="7">
        <v>0</v>
      </c>
      <c r="BE5" s="7">
        <v>0</v>
      </c>
      <c r="BF5" s="48">
        <f t="shared" ref="BF5:BF39" si="10">AVERAGE(BA5:BE5)</f>
        <v>0.52</v>
      </c>
      <c r="BG5" s="7">
        <v>1</v>
      </c>
      <c r="BH5" s="7">
        <v>0</v>
      </c>
      <c r="BI5" s="7">
        <v>0.2</v>
      </c>
      <c r="BJ5" s="7">
        <v>0</v>
      </c>
      <c r="BK5" s="7">
        <v>0</v>
      </c>
      <c r="BL5" s="48">
        <f t="shared" ref="BL5:BL39" si="11">AVERAGE(BG5:BK5)</f>
        <v>0.24</v>
      </c>
      <c r="BM5" s="55"/>
      <c r="BN5" s="7"/>
      <c r="BO5" s="7"/>
      <c r="BP5" s="7"/>
      <c r="BQ5" s="7"/>
      <c r="BR5" s="7"/>
      <c r="BS5" s="48">
        <f t="shared" ref="BS5:BS39" si="12">SUM(BN5:BR5)/5</f>
        <v>0</v>
      </c>
      <c r="BT5" s="7"/>
      <c r="BU5" s="7"/>
      <c r="BV5" s="7"/>
      <c r="BW5" s="7"/>
      <c r="BX5" s="7"/>
      <c r="BY5" s="48">
        <f t="shared" ref="BY5:BY39" si="13">SUM(BT5:BX5)/5</f>
        <v>0</v>
      </c>
      <c r="BZ5" s="7"/>
      <c r="CA5" s="7"/>
      <c r="CB5" s="7"/>
      <c r="CC5" s="7"/>
      <c r="CD5" s="7"/>
      <c r="CE5" s="48">
        <f t="shared" ref="CE5:CE39" si="14">SUM(BZ5:CD5)/5</f>
        <v>0</v>
      </c>
      <c r="CF5" s="7"/>
      <c r="CG5" s="7"/>
      <c r="CH5" s="7"/>
      <c r="CI5" s="7"/>
      <c r="CJ5" s="7"/>
      <c r="CK5" s="48">
        <f t="shared" ref="CK5:CK39" si="15">SUM(CF5:CJ5)/5</f>
        <v>0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</row>
    <row r="6" spans="1:116" ht="16" x14ac:dyDescent="0.2">
      <c r="A6" s="5" t="s">
        <v>142</v>
      </c>
      <c r="B6" s="5">
        <v>1</v>
      </c>
      <c r="C6" s="13" t="s">
        <v>141</v>
      </c>
      <c r="D6" s="5" t="s">
        <v>72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9">
        <v>1</v>
      </c>
      <c r="K6" s="59">
        <f>_xlfn.XLOOKUP(C6,'[1]4B_CD'!$C:$C,'[1]4B_CD'!$J:$J,"")</f>
        <v>0.9285714285714286</v>
      </c>
      <c r="L6" s="95">
        <f t="shared" si="0"/>
        <v>99.285714285714292</v>
      </c>
      <c r="M6" s="30">
        <f t="shared" si="1"/>
        <v>70</v>
      </c>
      <c r="N6" s="33">
        <f t="shared" si="2"/>
        <v>100</v>
      </c>
      <c r="O6" s="33">
        <f t="shared" si="3"/>
        <v>120</v>
      </c>
      <c r="P6" s="57"/>
      <c r="Q6" s="44">
        <v>1</v>
      </c>
      <c r="R6" s="5">
        <v>1</v>
      </c>
      <c r="S6" s="5">
        <v>1</v>
      </c>
      <c r="T6" s="5">
        <v>1</v>
      </c>
      <c r="U6" s="5">
        <v>1</v>
      </c>
      <c r="V6" s="48">
        <f t="shared" si="4"/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48">
        <f t="shared" si="5"/>
        <v>1</v>
      </c>
      <c r="AC6" s="44">
        <v>1</v>
      </c>
      <c r="AD6" s="5">
        <v>1</v>
      </c>
      <c r="AE6" s="5">
        <v>1</v>
      </c>
      <c r="AF6" s="5">
        <v>1</v>
      </c>
      <c r="AG6" s="5">
        <v>1</v>
      </c>
      <c r="AH6" s="48">
        <f t="shared" si="6"/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48">
        <f t="shared" si="7"/>
        <v>1</v>
      </c>
      <c r="AO6" s="34">
        <v>1</v>
      </c>
      <c r="AP6" s="5">
        <v>1</v>
      </c>
      <c r="AQ6" s="5">
        <v>1</v>
      </c>
      <c r="AR6" s="5">
        <v>1</v>
      </c>
      <c r="AS6" s="5">
        <v>1</v>
      </c>
      <c r="AT6" s="48">
        <f t="shared" si="8"/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48">
        <f t="shared" si="9"/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48">
        <f t="shared" si="10"/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48">
        <f t="shared" si="11"/>
        <v>1</v>
      </c>
      <c r="BM6" s="55"/>
      <c r="BN6" s="5"/>
      <c r="BO6" s="5"/>
      <c r="BP6" s="5"/>
      <c r="BQ6" s="5"/>
      <c r="BR6" s="5"/>
      <c r="BS6" s="48">
        <f t="shared" si="12"/>
        <v>0</v>
      </c>
      <c r="BT6" s="5"/>
      <c r="BU6" s="5"/>
      <c r="BV6" s="5"/>
      <c r="BW6" s="5"/>
      <c r="BX6" s="5"/>
      <c r="BY6" s="48">
        <f t="shared" si="13"/>
        <v>0</v>
      </c>
      <c r="BZ6" s="5"/>
      <c r="CA6" s="5"/>
      <c r="CB6" s="5"/>
      <c r="CC6" s="5"/>
      <c r="CD6" s="5"/>
      <c r="CE6" s="48">
        <f t="shared" si="14"/>
        <v>0</v>
      </c>
      <c r="CF6" s="5"/>
      <c r="CG6" s="5"/>
      <c r="CH6" s="5"/>
      <c r="CI6" s="5"/>
      <c r="CJ6" s="5"/>
      <c r="CK6" s="48">
        <f t="shared" si="15"/>
        <v>0</v>
      </c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</row>
    <row r="7" spans="1:116" ht="16" x14ac:dyDescent="0.2">
      <c r="A7" s="7" t="s">
        <v>140</v>
      </c>
      <c r="B7" s="7">
        <v>1</v>
      </c>
      <c r="C7" s="14" t="s">
        <v>139</v>
      </c>
      <c r="D7" s="7" t="s">
        <v>72</v>
      </c>
      <c r="E7" s="7">
        <v>1</v>
      </c>
      <c r="F7" s="7">
        <v>1</v>
      </c>
      <c r="G7" s="7"/>
      <c r="H7" s="7">
        <v>1</v>
      </c>
      <c r="I7" s="7">
        <v>1</v>
      </c>
      <c r="J7" s="59">
        <v>1</v>
      </c>
      <c r="K7" s="59">
        <f>_xlfn.XLOOKUP(C7,'[1]4B_CD'!$C:$C,'[1]4B_CD'!$J:$J,"")</f>
        <v>1</v>
      </c>
      <c r="L7" s="95">
        <f t="shared" si="0"/>
        <v>42.879999999999995</v>
      </c>
      <c r="M7" s="30">
        <f t="shared" si="1"/>
        <v>12.879999999999999</v>
      </c>
      <c r="N7" s="33">
        <f t="shared" si="2"/>
        <v>18.399999999999999</v>
      </c>
      <c r="O7" s="33">
        <f t="shared" si="3"/>
        <v>18.399999999999999</v>
      </c>
      <c r="P7" s="57"/>
      <c r="Q7" s="45">
        <v>0.8</v>
      </c>
      <c r="R7" s="7">
        <v>1</v>
      </c>
      <c r="S7" s="7">
        <v>0.8</v>
      </c>
      <c r="T7" s="7">
        <v>0.8</v>
      </c>
      <c r="U7" s="7">
        <v>0.8</v>
      </c>
      <c r="V7" s="48">
        <f t="shared" si="4"/>
        <v>0.84000000000000008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48">
        <f t="shared" si="5"/>
        <v>1</v>
      </c>
      <c r="AC7" s="45">
        <v>0</v>
      </c>
      <c r="AD7" s="7">
        <v>0</v>
      </c>
      <c r="AE7" s="7">
        <v>0</v>
      </c>
      <c r="AF7" s="7">
        <v>0</v>
      </c>
      <c r="AG7" s="7">
        <v>0</v>
      </c>
      <c r="AH7" s="48">
        <f t="shared" si="6"/>
        <v>0</v>
      </c>
      <c r="AI7" s="45">
        <v>0</v>
      </c>
      <c r="AJ7" s="7">
        <v>0</v>
      </c>
      <c r="AK7" s="7">
        <v>0</v>
      </c>
      <c r="AL7" s="7">
        <v>0</v>
      </c>
      <c r="AM7" s="7">
        <v>0</v>
      </c>
      <c r="AN7" s="48">
        <f t="shared" si="7"/>
        <v>0</v>
      </c>
      <c r="AO7" s="35">
        <v>0</v>
      </c>
      <c r="AP7" s="7">
        <v>0</v>
      </c>
      <c r="AQ7" s="7">
        <v>0</v>
      </c>
      <c r="AR7" s="7">
        <v>0</v>
      </c>
      <c r="AS7" s="7">
        <v>0</v>
      </c>
      <c r="AT7" s="48">
        <f t="shared" si="8"/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48">
        <f t="shared" si="9"/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48">
        <f t="shared" si="10"/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48">
        <f t="shared" si="11"/>
        <v>0</v>
      </c>
      <c r="BM7" s="55"/>
      <c r="BN7" s="7"/>
      <c r="BO7" s="7"/>
      <c r="BP7" s="7"/>
      <c r="BQ7" s="7"/>
      <c r="BR7" s="7"/>
      <c r="BS7" s="48">
        <f t="shared" si="12"/>
        <v>0</v>
      </c>
      <c r="BT7" s="7"/>
      <c r="BU7" s="7"/>
      <c r="BV7" s="7"/>
      <c r="BW7" s="7"/>
      <c r="BX7" s="7"/>
      <c r="BY7" s="48">
        <f t="shared" si="13"/>
        <v>0</v>
      </c>
      <c r="BZ7" s="7"/>
      <c r="CA7" s="7"/>
      <c r="CB7" s="7"/>
      <c r="CC7" s="7"/>
      <c r="CD7" s="7"/>
      <c r="CE7" s="48">
        <f t="shared" si="14"/>
        <v>0</v>
      </c>
      <c r="CF7" s="7"/>
      <c r="CG7" s="7"/>
      <c r="CH7" s="7"/>
      <c r="CI7" s="7"/>
      <c r="CJ7" s="7"/>
      <c r="CK7" s="48">
        <f t="shared" si="15"/>
        <v>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</row>
    <row r="8" spans="1:116" ht="16" x14ac:dyDescent="0.2">
      <c r="A8" s="5" t="s">
        <v>138</v>
      </c>
      <c r="B8" s="5">
        <v>1</v>
      </c>
      <c r="C8" s="13" t="s">
        <v>137</v>
      </c>
      <c r="D8" s="5" t="s">
        <v>72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9">
        <v>1</v>
      </c>
      <c r="K8" s="59">
        <f>_xlfn.XLOOKUP(C8,'[1]4B_CD'!$C:$C,'[1]4B_CD'!$J:$J,"")</f>
        <v>1</v>
      </c>
      <c r="L8" s="95">
        <f t="shared" si="0"/>
        <v>66.574999999999989</v>
      </c>
      <c r="M8" s="30">
        <f t="shared" si="1"/>
        <v>36.574999999999996</v>
      </c>
      <c r="N8" s="33">
        <f t="shared" si="2"/>
        <v>52.25</v>
      </c>
      <c r="O8" s="33">
        <f t="shared" si="3"/>
        <v>52.25</v>
      </c>
      <c r="P8" s="57"/>
      <c r="Q8" s="44">
        <v>1</v>
      </c>
      <c r="R8" s="5">
        <v>1</v>
      </c>
      <c r="S8" s="5">
        <v>1</v>
      </c>
      <c r="T8" s="5">
        <v>1</v>
      </c>
      <c r="U8" s="5">
        <v>1</v>
      </c>
      <c r="V8" s="48">
        <f t="shared" si="4"/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48">
        <f t="shared" si="5"/>
        <v>1</v>
      </c>
      <c r="AC8" s="44">
        <v>1</v>
      </c>
      <c r="AD8" s="5">
        <v>0.5</v>
      </c>
      <c r="AE8" s="5">
        <v>0.75</v>
      </c>
      <c r="AF8" s="5">
        <v>0.75</v>
      </c>
      <c r="AG8" s="5">
        <v>0.75</v>
      </c>
      <c r="AH8" s="48">
        <f t="shared" si="6"/>
        <v>0.75</v>
      </c>
      <c r="AI8" s="5">
        <v>1</v>
      </c>
      <c r="AJ8" s="5">
        <v>0.5</v>
      </c>
      <c r="AK8" s="5">
        <v>0.5</v>
      </c>
      <c r="AL8" s="5">
        <v>0.5</v>
      </c>
      <c r="AM8" s="5">
        <v>0.5</v>
      </c>
      <c r="AN8" s="48">
        <f t="shared" si="7"/>
        <v>0.6</v>
      </c>
      <c r="AO8" s="34">
        <v>0</v>
      </c>
      <c r="AP8" s="5">
        <v>0</v>
      </c>
      <c r="AQ8" s="5">
        <v>0</v>
      </c>
      <c r="AR8" s="5">
        <v>0</v>
      </c>
      <c r="AS8" s="5">
        <v>0</v>
      </c>
      <c r="AT8" s="48">
        <f t="shared" si="8"/>
        <v>0</v>
      </c>
      <c r="AU8" s="5">
        <v>1</v>
      </c>
      <c r="AV8" s="5">
        <v>1</v>
      </c>
      <c r="AW8" s="5">
        <v>1</v>
      </c>
      <c r="AX8" s="5">
        <v>0</v>
      </c>
      <c r="AY8" s="5">
        <v>1</v>
      </c>
      <c r="AZ8" s="48">
        <f t="shared" si="9"/>
        <v>0.8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48">
        <f t="shared" si="10"/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48">
        <f t="shared" si="11"/>
        <v>0</v>
      </c>
      <c r="BM8" s="55"/>
      <c r="BN8" s="5"/>
      <c r="BO8" s="5"/>
      <c r="BP8" s="5"/>
      <c r="BQ8" s="5"/>
      <c r="BR8" s="5"/>
      <c r="BS8" s="48">
        <f t="shared" si="12"/>
        <v>0</v>
      </c>
      <c r="BT8" s="5"/>
      <c r="BU8" s="5"/>
      <c r="BV8" s="5"/>
      <c r="BW8" s="5"/>
      <c r="BX8" s="5"/>
      <c r="BY8" s="48">
        <f t="shared" si="13"/>
        <v>0</v>
      </c>
      <c r="BZ8" s="5"/>
      <c r="CA8" s="5"/>
      <c r="CB8" s="5"/>
      <c r="CC8" s="5"/>
      <c r="CD8" s="5"/>
      <c r="CE8" s="48">
        <f t="shared" si="14"/>
        <v>0</v>
      </c>
      <c r="CF8" s="5"/>
      <c r="CG8" s="5"/>
      <c r="CH8" s="5"/>
      <c r="CI8" s="5"/>
      <c r="CJ8" s="5"/>
      <c r="CK8" s="48">
        <f t="shared" si="15"/>
        <v>0</v>
      </c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</row>
    <row r="9" spans="1:116" ht="16" x14ac:dyDescent="0.2">
      <c r="A9" s="7" t="s">
        <v>136</v>
      </c>
      <c r="B9" s="7">
        <v>1</v>
      </c>
      <c r="C9" s="14" t="s">
        <v>135</v>
      </c>
      <c r="D9" s="7" t="s">
        <v>72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59">
        <v>1</v>
      </c>
      <c r="K9" s="59">
        <f>_xlfn.XLOOKUP(C9,'[1]4B_CD'!$C:$C,'[1]4B_CD'!$J:$J,"")</f>
        <v>1</v>
      </c>
      <c r="L9" s="95">
        <f t="shared" si="0"/>
        <v>47.325000000000003</v>
      </c>
      <c r="M9" s="30">
        <f t="shared" si="1"/>
        <v>17.324999999999999</v>
      </c>
      <c r="N9" s="33">
        <f t="shared" si="2"/>
        <v>24.75</v>
      </c>
      <c r="O9" s="33">
        <f t="shared" si="3"/>
        <v>24.75</v>
      </c>
      <c r="P9" s="57">
        <f>+Q9</f>
        <v>1</v>
      </c>
      <c r="Q9" s="45">
        <v>1</v>
      </c>
      <c r="R9" s="7">
        <v>1</v>
      </c>
      <c r="S9" s="7">
        <v>1</v>
      </c>
      <c r="T9" s="7">
        <v>1</v>
      </c>
      <c r="U9" s="7">
        <v>1</v>
      </c>
      <c r="V9" s="48">
        <f t="shared" si="4"/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48">
        <f t="shared" si="5"/>
        <v>1</v>
      </c>
      <c r="AC9" s="45">
        <v>0</v>
      </c>
      <c r="AD9" s="7">
        <v>0</v>
      </c>
      <c r="AE9" s="7">
        <v>0</v>
      </c>
      <c r="AF9" s="7">
        <v>0</v>
      </c>
      <c r="AG9" s="7">
        <v>0</v>
      </c>
      <c r="AH9" s="48">
        <f t="shared" si="6"/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48">
        <f t="shared" si="7"/>
        <v>0</v>
      </c>
      <c r="AO9" s="35">
        <v>0</v>
      </c>
      <c r="AP9" s="7">
        <v>0</v>
      </c>
      <c r="AQ9" s="7">
        <v>0</v>
      </c>
      <c r="AR9" s="7">
        <v>0</v>
      </c>
      <c r="AS9" s="7">
        <v>0</v>
      </c>
      <c r="AT9" s="48">
        <f t="shared" si="8"/>
        <v>0</v>
      </c>
      <c r="AU9" s="7">
        <v>0.75</v>
      </c>
      <c r="AV9" s="7">
        <v>0.5</v>
      </c>
      <c r="AW9" s="7">
        <v>0</v>
      </c>
      <c r="AX9" s="7">
        <v>0</v>
      </c>
      <c r="AY9" s="7">
        <v>0</v>
      </c>
      <c r="AZ9" s="48">
        <f t="shared" si="9"/>
        <v>0.25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48">
        <f t="shared" si="10"/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48">
        <f t="shared" si="11"/>
        <v>0</v>
      </c>
      <c r="BM9" s="55"/>
      <c r="BN9" s="7"/>
      <c r="BO9" s="7"/>
      <c r="BP9" s="7"/>
      <c r="BQ9" s="7"/>
      <c r="BR9" s="7"/>
      <c r="BS9" s="48">
        <f t="shared" si="12"/>
        <v>0</v>
      </c>
      <c r="BT9" s="7"/>
      <c r="BU9" s="7"/>
      <c r="BV9" s="7"/>
      <c r="BW9" s="7"/>
      <c r="BX9" s="7"/>
      <c r="BY9" s="48">
        <f t="shared" si="13"/>
        <v>0</v>
      </c>
      <c r="BZ9" s="7"/>
      <c r="CA9" s="7"/>
      <c r="CB9" s="7"/>
      <c r="CC9" s="7"/>
      <c r="CD9" s="7"/>
      <c r="CE9" s="48">
        <f t="shared" si="14"/>
        <v>0</v>
      </c>
      <c r="CF9" s="7"/>
      <c r="CG9" s="7"/>
      <c r="CH9" s="7"/>
      <c r="CI9" s="7"/>
      <c r="CJ9" s="7"/>
      <c r="CK9" s="48">
        <f t="shared" si="15"/>
        <v>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</row>
    <row r="10" spans="1:116" ht="16" x14ac:dyDescent="0.2">
      <c r="A10" s="5" t="s">
        <v>134</v>
      </c>
      <c r="B10" s="5">
        <v>1</v>
      </c>
      <c r="C10" s="13" t="s">
        <v>133</v>
      </c>
      <c r="D10" s="5" t="s">
        <v>72</v>
      </c>
      <c r="E10" s="5">
        <v>1</v>
      </c>
      <c r="F10" s="5">
        <v>1</v>
      </c>
      <c r="G10" s="5">
        <v>1</v>
      </c>
      <c r="H10" s="5"/>
      <c r="I10" s="5">
        <v>1</v>
      </c>
      <c r="J10" s="59">
        <v>1</v>
      </c>
      <c r="K10" s="59">
        <f>_xlfn.XLOOKUP(C10,'[1]4B_CD'!$C:$C,'[1]4B_CD'!$J:$J,"")</f>
        <v>1</v>
      </c>
      <c r="L10" s="95">
        <f t="shared" si="0"/>
        <v>59.224999999999994</v>
      </c>
      <c r="M10" s="30">
        <f t="shared" si="1"/>
        <v>29.224999999999998</v>
      </c>
      <c r="N10" s="33">
        <f t="shared" si="2"/>
        <v>41.75</v>
      </c>
      <c r="O10" s="33">
        <f t="shared" si="3"/>
        <v>41.75</v>
      </c>
      <c r="P10" s="57"/>
      <c r="Q10" s="44">
        <v>1</v>
      </c>
      <c r="R10" s="5">
        <v>1</v>
      </c>
      <c r="S10" s="5">
        <v>1</v>
      </c>
      <c r="T10" s="5">
        <v>1</v>
      </c>
      <c r="U10" s="5">
        <v>1</v>
      </c>
      <c r="V10" s="48">
        <f t="shared" si="4"/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48">
        <f t="shared" si="5"/>
        <v>1</v>
      </c>
      <c r="AC10" s="44">
        <v>0.5</v>
      </c>
      <c r="AD10" s="5">
        <v>0.25</v>
      </c>
      <c r="AE10" s="5">
        <v>0</v>
      </c>
      <c r="AF10" s="5">
        <v>0</v>
      </c>
      <c r="AG10" s="5">
        <v>0</v>
      </c>
      <c r="AH10" s="48">
        <f t="shared" si="6"/>
        <v>0.15</v>
      </c>
      <c r="AI10" s="5">
        <v>0.75</v>
      </c>
      <c r="AJ10" s="5">
        <v>0.75</v>
      </c>
      <c r="AK10" s="5">
        <v>0</v>
      </c>
      <c r="AL10" s="5">
        <v>0</v>
      </c>
      <c r="AM10" s="5">
        <v>0</v>
      </c>
      <c r="AN10" s="48">
        <f t="shared" si="7"/>
        <v>0.3</v>
      </c>
      <c r="AO10" s="34">
        <v>1</v>
      </c>
      <c r="AP10" s="5">
        <v>1</v>
      </c>
      <c r="AQ10" s="5">
        <v>1</v>
      </c>
      <c r="AR10" s="5">
        <v>1</v>
      </c>
      <c r="AS10" s="5">
        <v>1</v>
      </c>
      <c r="AT10" s="48">
        <f t="shared" si="8"/>
        <v>1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48">
        <f t="shared" si="9"/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48">
        <f t="shared" si="10"/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48">
        <f t="shared" si="11"/>
        <v>0</v>
      </c>
      <c r="BM10" s="55"/>
      <c r="BN10" s="5"/>
      <c r="BO10" s="5"/>
      <c r="BP10" s="5"/>
      <c r="BQ10" s="5"/>
      <c r="BR10" s="5"/>
      <c r="BS10" s="48">
        <f t="shared" si="12"/>
        <v>0</v>
      </c>
      <c r="BT10" s="5"/>
      <c r="BU10" s="5"/>
      <c r="BV10" s="5"/>
      <c r="BW10" s="5"/>
      <c r="BX10" s="5"/>
      <c r="BY10" s="48">
        <f t="shared" si="13"/>
        <v>0</v>
      </c>
      <c r="BZ10" s="5"/>
      <c r="CA10" s="5"/>
      <c r="CB10" s="5"/>
      <c r="CC10" s="5"/>
      <c r="CD10" s="5"/>
      <c r="CE10" s="48">
        <f t="shared" si="14"/>
        <v>0</v>
      </c>
      <c r="CF10" s="5"/>
      <c r="CG10" s="5"/>
      <c r="CH10" s="5"/>
      <c r="CI10" s="5"/>
      <c r="CJ10" s="5"/>
      <c r="CK10" s="48">
        <f t="shared" si="15"/>
        <v>0</v>
      </c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</row>
    <row r="11" spans="1:116" ht="16" x14ac:dyDescent="0.2">
      <c r="A11" s="7" t="s">
        <v>132</v>
      </c>
      <c r="B11" s="7">
        <v>1</v>
      </c>
      <c r="C11" s="14" t="s">
        <v>131</v>
      </c>
      <c r="D11" s="7" t="s">
        <v>72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59">
        <v>1</v>
      </c>
      <c r="K11" s="59">
        <f>_xlfn.XLOOKUP(C11,'[1]4B_CD'!$C:$C,'[1]4B_CD'!$J:$J,"")</f>
        <v>1</v>
      </c>
      <c r="L11" s="95">
        <f t="shared" si="0"/>
        <v>100</v>
      </c>
      <c r="M11" s="30">
        <f t="shared" si="1"/>
        <v>70</v>
      </c>
      <c r="N11" s="33">
        <f t="shared" si="2"/>
        <v>100</v>
      </c>
      <c r="O11" s="33">
        <f t="shared" si="3"/>
        <v>111.4</v>
      </c>
      <c r="P11" s="57">
        <v>15</v>
      </c>
      <c r="Q11" s="45">
        <v>1</v>
      </c>
      <c r="R11" s="7">
        <v>1</v>
      </c>
      <c r="S11" s="7">
        <v>1</v>
      </c>
      <c r="T11" s="7">
        <v>1</v>
      </c>
      <c r="U11" s="7">
        <v>1</v>
      </c>
      <c r="V11" s="48">
        <f t="shared" si="4"/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48">
        <f t="shared" si="5"/>
        <v>1</v>
      </c>
      <c r="AC11" s="45">
        <v>1</v>
      </c>
      <c r="AD11" s="7">
        <v>1</v>
      </c>
      <c r="AE11" s="7">
        <v>1</v>
      </c>
      <c r="AF11" s="7">
        <v>1</v>
      </c>
      <c r="AG11" s="7">
        <v>1</v>
      </c>
      <c r="AH11" s="48">
        <f t="shared" si="6"/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48">
        <f t="shared" si="7"/>
        <v>1</v>
      </c>
      <c r="AO11" s="35">
        <v>1</v>
      </c>
      <c r="AP11" s="7">
        <v>1</v>
      </c>
      <c r="AQ11" s="7">
        <v>1</v>
      </c>
      <c r="AR11" s="7">
        <v>1</v>
      </c>
      <c r="AS11" s="7">
        <v>1</v>
      </c>
      <c r="AT11" s="48">
        <f t="shared" si="8"/>
        <v>1</v>
      </c>
      <c r="AU11" s="7">
        <v>1</v>
      </c>
      <c r="AV11" s="7">
        <v>1</v>
      </c>
      <c r="AW11" s="7">
        <v>1</v>
      </c>
      <c r="AX11" s="7">
        <v>1</v>
      </c>
      <c r="AY11" s="7">
        <v>1</v>
      </c>
      <c r="AZ11" s="48">
        <f t="shared" si="9"/>
        <v>1</v>
      </c>
      <c r="BA11" s="7">
        <v>0.8</v>
      </c>
      <c r="BB11" s="7">
        <v>0.8</v>
      </c>
      <c r="BC11" s="7">
        <v>0.5</v>
      </c>
      <c r="BD11" s="7">
        <v>0</v>
      </c>
      <c r="BE11" s="7">
        <v>0</v>
      </c>
      <c r="BF11" s="48">
        <f t="shared" si="10"/>
        <v>0.42000000000000004</v>
      </c>
      <c r="BG11" s="7">
        <v>0.75</v>
      </c>
      <c r="BH11" s="7">
        <v>0.75</v>
      </c>
      <c r="BI11" s="7">
        <v>0.5</v>
      </c>
      <c r="BJ11" s="7">
        <v>0</v>
      </c>
      <c r="BK11" s="7">
        <v>0</v>
      </c>
      <c r="BL11" s="48">
        <f t="shared" si="11"/>
        <v>0.4</v>
      </c>
      <c r="BM11" s="55"/>
      <c r="BN11" s="7"/>
      <c r="BO11" s="7"/>
      <c r="BP11" s="7"/>
      <c r="BQ11" s="7"/>
      <c r="BR11" s="7"/>
      <c r="BS11" s="48">
        <f t="shared" si="12"/>
        <v>0</v>
      </c>
      <c r="BT11" s="7"/>
      <c r="BU11" s="7"/>
      <c r="BV11" s="7"/>
      <c r="BW11" s="7"/>
      <c r="BX11" s="7"/>
      <c r="BY11" s="48">
        <f t="shared" si="13"/>
        <v>0</v>
      </c>
      <c r="BZ11" s="7"/>
      <c r="CA11" s="7"/>
      <c r="CB11" s="7"/>
      <c r="CC11" s="7"/>
      <c r="CD11" s="7"/>
      <c r="CE11" s="48">
        <f t="shared" si="14"/>
        <v>0</v>
      </c>
      <c r="CF11" s="7"/>
      <c r="CG11" s="7"/>
      <c r="CH11" s="7"/>
      <c r="CI11" s="7"/>
      <c r="CJ11" s="7"/>
      <c r="CK11" s="48">
        <f t="shared" si="15"/>
        <v>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</row>
    <row r="12" spans="1:116" ht="16" x14ac:dyDescent="0.2">
      <c r="A12" s="5" t="s">
        <v>130</v>
      </c>
      <c r="B12" s="5">
        <v>1</v>
      </c>
      <c r="C12" s="13" t="s">
        <v>129</v>
      </c>
      <c r="D12" s="5" t="s">
        <v>72</v>
      </c>
      <c r="E12" s="5"/>
      <c r="F12" s="5"/>
      <c r="G12" s="5">
        <v>1</v>
      </c>
      <c r="H12" s="5"/>
      <c r="I12" s="5"/>
      <c r="J12" s="59">
        <v>1</v>
      </c>
      <c r="K12" s="59">
        <f>_xlfn.XLOOKUP(C12,'[1]4B_CD'!$C:$C,'[1]4B_CD'!$J:$J,"")</f>
        <v>1</v>
      </c>
      <c r="L12" s="95">
        <f t="shared" si="0"/>
        <v>30</v>
      </c>
      <c r="M12" s="30">
        <f t="shared" si="1"/>
        <v>0</v>
      </c>
      <c r="N12" s="33">
        <f>IF(O12&gt;=100,100,O12)</f>
        <v>0</v>
      </c>
      <c r="O12" s="33">
        <f>V12*10+AB12*10+AH12*15+AN12*15+AT12*15+AZ12*15+BF12*20+BL12*20+P12</f>
        <v>0</v>
      </c>
      <c r="P12" s="57">
        <v>0</v>
      </c>
      <c r="Q12" s="44">
        <v>0</v>
      </c>
      <c r="R12" s="5">
        <v>0</v>
      </c>
      <c r="S12" s="5">
        <v>0</v>
      </c>
      <c r="T12" s="5">
        <v>0</v>
      </c>
      <c r="U12" s="5">
        <v>0</v>
      </c>
      <c r="V12" s="48">
        <f t="shared" si="4"/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48">
        <f t="shared" si="5"/>
        <v>0</v>
      </c>
      <c r="AC12" s="44">
        <v>0</v>
      </c>
      <c r="AD12" s="5">
        <v>0</v>
      </c>
      <c r="AE12" s="5">
        <v>0</v>
      </c>
      <c r="AF12" s="5">
        <v>0</v>
      </c>
      <c r="AG12" s="5">
        <v>0</v>
      </c>
      <c r="AH12" s="48">
        <f t="shared" si="6"/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48">
        <f t="shared" si="7"/>
        <v>0</v>
      </c>
      <c r="AO12" s="34">
        <v>0</v>
      </c>
      <c r="AP12" s="5">
        <v>0</v>
      </c>
      <c r="AQ12" s="5">
        <v>0</v>
      </c>
      <c r="AR12" s="5">
        <v>0</v>
      </c>
      <c r="AS12" s="5">
        <v>0</v>
      </c>
      <c r="AT12" s="48">
        <f t="shared" si="8"/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48">
        <f t="shared" si="9"/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48">
        <f t="shared" si="10"/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48">
        <f t="shared" si="11"/>
        <v>0</v>
      </c>
      <c r="BM12" s="55"/>
      <c r="BN12" s="5"/>
      <c r="BO12" s="5"/>
      <c r="BP12" s="5"/>
      <c r="BQ12" s="5"/>
      <c r="BR12" s="5"/>
      <c r="BS12" s="48">
        <f t="shared" si="12"/>
        <v>0</v>
      </c>
      <c r="BT12" s="5"/>
      <c r="BU12" s="5"/>
      <c r="BV12" s="5"/>
      <c r="BW12" s="5"/>
      <c r="BX12" s="5"/>
      <c r="BY12" s="48">
        <f t="shared" si="13"/>
        <v>0</v>
      </c>
      <c r="BZ12" s="5"/>
      <c r="CA12" s="5"/>
      <c r="CB12" s="5"/>
      <c r="CC12" s="5"/>
      <c r="CD12" s="5"/>
      <c r="CE12" s="48">
        <f t="shared" si="14"/>
        <v>0</v>
      </c>
      <c r="CF12" s="5"/>
      <c r="CG12" s="5"/>
      <c r="CH12" s="5"/>
      <c r="CI12" s="5"/>
      <c r="CJ12" s="5"/>
      <c r="CK12" s="48">
        <f t="shared" si="15"/>
        <v>0</v>
      </c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</row>
    <row r="13" spans="1:116" ht="16" x14ac:dyDescent="0.2">
      <c r="A13" s="7" t="s">
        <v>128</v>
      </c>
      <c r="B13" s="7">
        <v>1</v>
      </c>
      <c r="C13" s="14" t="s">
        <v>127</v>
      </c>
      <c r="D13" s="7" t="s">
        <v>72</v>
      </c>
      <c r="E13" s="7">
        <v>1</v>
      </c>
      <c r="F13" s="7">
        <v>1</v>
      </c>
      <c r="G13" s="7"/>
      <c r="H13" s="7"/>
      <c r="I13" s="7">
        <v>1</v>
      </c>
      <c r="J13" s="59">
        <v>1</v>
      </c>
      <c r="K13" s="59">
        <f>_xlfn.XLOOKUP(C13,'[1]4B_CD'!$C:$C,'[1]4B_CD'!$J:$J,"")</f>
        <v>0.9285714285714286</v>
      </c>
      <c r="L13" s="95">
        <f t="shared" si="0"/>
        <v>29.985714285714288</v>
      </c>
      <c r="M13" s="30">
        <f t="shared" si="1"/>
        <v>0.7</v>
      </c>
      <c r="N13" s="33">
        <f t="shared" si="2"/>
        <v>1</v>
      </c>
      <c r="O13" s="33">
        <f t="shared" si="3"/>
        <v>1</v>
      </c>
      <c r="P13" s="57"/>
      <c r="Q13" s="45">
        <v>0</v>
      </c>
      <c r="R13" s="7">
        <v>0</v>
      </c>
      <c r="S13" s="7">
        <v>0</v>
      </c>
      <c r="T13" s="7">
        <v>0</v>
      </c>
      <c r="U13" s="7">
        <v>0</v>
      </c>
      <c r="V13" s="48">
        <f t="shared" si="4"/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48">
        <f t="shared" si="5"/>
        <v>0</v>
      </c>
      <c r="AC13" s="45">
        <v>0</v>
      </c>
      <c r="AD13" s="7">
        <v>0</v>
      </c>
      <c r="AE13" s="7">
        <v>0</v>
      </c>
      <c r="AF13" s="7">
        <v>0</v>
      </c>
      <c r="AG13" s="7">
        <v>0</v>
      </c>
      <c r="AH13" s="48">
        <f t="shared" si="6"/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48">
        <f t="shared" si="7"/>
        <v>0</v>
      </c>
      <c r="AO13" s="35">
        <v>0</v>
      </c>
      <c r="AP13" s="7">
        <v>0</v>
      </c>
      <c r="AQ13" s="7">
        <v>0</v>
      </c>
      <c r="AR13" s="7">
        <v>0</v>
      </c>
      <c r="AS13" s="7">
        <v>0</v>
      </c>
      <c r="AT13" s="48">
        <f t="shared" si="8"/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48">
        <f t="shared" si="9"/>
        <v>0</v>
      </c>
      <c r="BA13" s="7">
        <v>0.25</v>
      </c>
      <c r="BB13" s="7">
        <v>0</v>
      </c>
      <c r="BC13" s="7">
        <v>0</v>
      </c>
      <c r="BD13" s="7">
        <v>0</v>
      </c>
      <c r="BE13" s="7">
        <v>0</v>
      </c>
      <c r="BF13" s="48">
        <f t="shared" si="10"/>
        <v>0.05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48">
        <f t="shared" si="11"/>
        <v>0</v>
      </c>
      <c r="BM13" s="55"/>
      <c r="BN13" s="7"/>
      <c r="BO13" s="7"/>
      <c r="BP13" s="7"/>
      <c r="BQ13" s="7"/>
      <c r="BR13" s="7"/>
      <c r="BS13" s="48">
        <f t="shared" si="12"/>
        <v>0</v>
      </c>
      <c r="BT13" s="7"/>
      <c r="BU13" s="7"/>
      <c r="BV13" s="7"/>
      <c r="BW13" s="7"/>
      <c r="BX13" s="7"/>
      <c r="BY13" s="48">
        <f t="shared" si="13"/>
        <v>0</v>
      </c>
      <c r="BZ13" s="7"/>
      <c r="CA13" s="7"/>
      <c r="CB13" s="7"/>
      <c r="CC13" s="7"/>
      <c r="CD13" s="7"/>
      <c r="CE13" s="48">
        <f t="shared" si="14"/>
        <v>0</v>
      </c>
      <c r="CF13" s="7"/>
      <c r="CG13" s="7"/>
      <c r="CH13" s="7"/>
      <c r="CI13" s="7"/>
      <c r="CJ13" s="7"/>
      <c r="CK13" s="48">
        <f t="shared" si="15"/>
        <v>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</row>
    <row r="14" spans="1:116" ht="16" x14ac:dyDescent="0.2">
      <c r="A14" s="5" t="s">
        <v>126</v>
      </c>
      <c r="B14" s="5">
        <v>1</v>
      </c>
      <c r="C14" s="13" t="s">
        <v>125</v>
      </c>
      <c r="D14" s="5" t="s">
        <v>72</v>
      </c>
      <c r="E14" s="5">
        <v>1</v>
      </c>
      <c r="F14" s="5"/>
      <c r="G14" s="5">
        <v>1</v>
      </c>
      <c r="H14" s="5">
        <v>1</v>
      </c>
      <c r="I14" s="5">
        <v>1</v>
      </c>
      <c r="J14" s="59">
        <v>1</v>
      </c>
      <c r="K14" s="59">
        <f>_xlfn.XLOOKUP(C14,'[1]4B_CD'!$C:$C,'[1]4B_CD'!$J:$J,"")</f>
        <v>1</v>
      </c>
      <c r="L14" s="95">
        <f t="shared" si="0"/>
        <v>98.424999999999997</v>
      </c>
      <c r="M14" s="30">
        <f t="shared" si="1"/>
        <v>68.424999999999997</v>
      </c>
      <c r="N14" s="33">
        <f t="shared" si="2"/>
        <v>97.75</v>
      </c>
      <c r="O14" s="33">
        <f t="shared" si="3"/>
        <v>97.75</v>
      </c>
      <c r="P14" s="57">
        <f>15*BS14+15*BY14</f>
        <v>15.75</v>
      </c>
      <c r="Q14" s="44">
        <v>1</v>
      </c>
      <c r="R14" s="5">
        <v>1</v>
      </c>
      <c r="S14" s="5">
        <v>1</v>
      </c>
      <c r="T14" s="5">
        <v>1</v>
      </c>
      <c r="U14" s="5">
        <v>1</v>
      </c>
      <c r="V14" s="48">
        <f t="shared" si="4"/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48">
        <f t="shared" si="5"/>
        <v>1</v>
      </c>
      <c r="AC14" s="44">
        <v>1</v>
      </c>
      <c r="AD14" s="5">
        <v>1</v>
      </c>
      <c r="AE14" s="5">
        <v>1</v>
      </c>
      <c r="AF14" s="5">
        <v>1</v>
      </c>
      <c r="AG14" s="5">
        <v>1</v>
      </c>
      <c r="AH14" s="48">
        <f t="shared" si="6"/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48">
        <f t="shared" si="7"/>
        <v>1</v>
      </c>
      <c r="AO14" s="34">
        <v>1</v>
      </c>
      <c r="AP14" s="5">
        <v>1</v>
      </c>
      <c r="AQ14" s="5">
        <v>1</v>
      </c>
      <c r="AR14" s="5">
        <v>1</v>
      </c>
      <c r="AS14" s="5">
        <v>1</v>
      </c>
      <c r="AT14" s="48">
        <f t="shared" si="8"/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48">
        <f t="shared" si="9"/>
        <v>1</v>
      </c>
      <c r="BA14" s="5">
        <v>0.25</v>
      </c>
      <c r="BB14" s="5">
        <v>0</v>
      </c>
      <c r="BC14" s="5">
        <v>0</v>
      </c>
      <c r="BD14" s="5">
        <v>0</v>
      </c>
      <c r="BE14" s="5">
        <v>0</v>
      </c>
      <c r="BF14" s="48">
        <f t="shared" si="10"/>
        <v>0.05</v>
      </c>
      <c r="BG14" s="5">
        <v>0.25</v>
      </c>
      <c r="BH14" s="5">
        <v>0</v>
      </c>
      <c r="BI14" s="5">
        <v>0</v>
      </c>
      <c r="BJ14" s="5">
        <v>0</v>
      </c>
      <c r="BK14" s="5">
        <v>0</v>
      </c>
      <c r="BL14" s="48">
        <f t="shared" si="11"/>
        <v>0.05</v>
      </c>
      <c r="BM14" s="55"/>
      <c r="BN14" s="5">
        <v>0.25</v>
      </c>
      <c r="BO14" s="5">
        <v>0</v>
      </c>
      <c r="BP14" s="5">
        <v>0</v>
      </c>
      <c r="BQ14" s="5">
        <v>0</v>
      </c>
      <c r="BR14" s="5">
        <v>0</v>
      </c>
      <c r="BS14" s="48">
        <f t="shared" si="12"/>
        <v>0.05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48">
        <f t="shared" si="13"/>
        <v>1</v>
      </c>
      <c r="BZ14" s="5"/>
      <c r="CA14" s="5"/>
      <c r="CB14" s="5"/>
      <c r="CC14" s="5"/>
      <c r="CD14" s="5"/>
      <c r="CE14" s="48">
        <f t="shared" si="14"/>
        <v>0</v>
      </c>
      <c r="CF14" s="5"/>
      <c r="CG14" s="5"/>
      <c r="CH14" s="5"/>
      <c r="CI14" s="5"/>
      <c r="CJ14" s="5"/>
      <c r="CK14" s="48">
        <f t="shared" si="15"/>
        <v>0</v>
      </c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</row>
    <row r="15" spans="1:116" ht="16" x14ac:dyDescent="0.2">
      <c r="A15" s="7" t="s">
        <v>124</v>
      </c>
      <c r="B15" s="7">
        <v>1</v>
      </c>
      <c r="C15" s="14" t="s">
        <v>123</v>
      </c>
      <c r="D15" s="7" t="s">
        <v>72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59">
        <v>1</v>
      </c>
      <c r="K15" s="59">
        <f>_xlfn.XLOOKUP(C15,'[1]4B_CD'!$C:$C,'[1]4B_CD'!$J:$J,"")</f>
        <v>1</v>
      </c>
      <c r="L15" s="95">
        <f t="shared" si="0"/>
        <v>38.4</v>
      </c>
      <c r="M15" s="30">
        <f t="shared" si="1"/>
        <v>8.3999999999999986</v>
      </c>
      <c r="N15" s="33">
        <f t="shared" si="2"/>
        <v>12</v>
      </c>
      <c r="O15" s="33">
        <f t="shared" si="3"/>
        <v>12</v>
      </c>
      <c r="P15" s="57"/>
      <c r="Q15" s="45">
        <v>0.75</v>
      </c>
      <c r="R15" s="7">
        <v>0.75</v>
      </c>
      <c r="S15" s="7">
        <v>0.5</v>
      </c>
      <c r="T15" s="7">
        <v>0.75</v>
      </c>
      <c r="U15" s="7">
        <v>0</v>
      </c>
      <c r="V15" s="48">
        <f t="shared" si="4"/>
        <v>0.55000000000000004</v>
      </c>
      <c r="W15" s="7">
        <v>0.5</v>
      </c>
      <c r="X15" s="7">
        <v>0.5</v>
      </c>
      <c r="Y15" s="7">
        <v>0</v>
      </c>
      <c r="Z15" s="7">
        <v>0</v>
      </c>
      <c r="AA15" s="7">
        <v>0</v>
      </c>
      <c r="AB15" s="48">
        <f t="shared" si="5"/>
        <v>0.2</v>
      </c>
      <c r="AC15" s="45">
        <v>0.75</v>
      </c>
      <c r="AD15" s="7">
        <v>0.75</v>
      </c>
      <c r="AE15" s="7">
        <v>0</v>
      </c>
      <c r="AF15" s="7">
        <v>0</v>
      </c>
      <c r="AG15" s="7">
        <v>0</v>
      </c>
      <c r="AH15" s="48">
        <f t="shared" si="6"/>
        <v>0.3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48">
        <f t="shared" si="7"/>
        <v>0</v>
      </c>
      <c r="AO15" s="35">
        <v>0</v>
      </c>
      <c r="AP15" s="7">
        <v>0</v>
      </c>
      <c r="AQ15" s="7">
        <v>0</v>
      </c>
      <c r="AR15" s="7">
        <v>0</v>
      </c>
      <c r="AS15" s="7">
        <v>0</v>
      </c>
      <c r="AT15" s="48">
        <f t="shared" si="8"/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48">
        <f t="shared" si="9"/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48">
        <f t="shared" si="10"/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48">
        <f t="shared" si="11"/>
        <v>0</v>
      </c>
      <c r="BM15" s="55"/>
      <c r="BN15" s="7"/>
      <c r="BO15" s="7"/>
      <c r="BP15" s="7"/>
      <c r="BQ15" s="7"/>
      <c r="BR15" s="7"/>
      <c r="BS15" s="48">
        <f t="shared" si="12"/>
        <v>0</v>
      </c>
      <c r="BT15" s="7"/>
      <c r="BU15" s="7"/>
      <c r="BV15" s="7"/>
      <c r="BW15" s="7"/>
      <c r="BX15" s="7"/>
      <c r="BY15" s="48">
        <f t="shared" si="13"/>
        <v>0</v>
      </c>
      <c r="BZ15" s="7"/>
      <c r="CA15" s="7"/>
      <c r="CB15" s="7"/>
      <c r="CC15" s="7"/>
      <c r="CD15" s="7"/>
      <c r="CE15" s="48">
        <f t="shared" si="14"/>
        <v>0</v>
      </c>
      <c r="CF15" s="7"/>
      <c r="CG15" s="7"/>
      <c r="CH15" s="7"/>
      <c r="CI15" s="7"/>
      <c r="CJ15" s="7"/>
      <c r="CK15" s="48">
        <f t="shared" si="15"/>
        <v>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</row>
    <row r="16" spans="1:116" ht="16" x14ac:dyDescent="0.2">
      <c r="A16" s="5" t="s">
        <v>122</v>
      </c>
      <c r="B16" s="5">
        <v>1</v>
      </c>
      <c r="C16" s="53" t="s">
        <v>121</v>
      </c>
      <c r="D16" s="5" t="s">
        <v>72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9">
        <v>1</v>
      </c>
      <c r="K16" s="59">
        <f>_xlfn.XLOOKUP(C16,'[1]4B_CD'!$C:$C,'[1]4B_CD'!$J:$J,"")</f>
        <v>1</v>
      </c>
      <c r="L16" s="95">
        <f t="shared" si="0"/>
        <v>86</v>
      </c>
      <c r="M16" s="30">
        <f t="shared" si="1"/>
        <v>56</v>
      </c>
      <c r="N16" s="33">
        <f t="shared" si="2"/>
        <v>80</v>
      </c>
      <c r="O16" s="33">
        <f t="shared" si="3"/>
        <v>80</v>
      </c>
      <c r="P16" s="57"/>
      <c r="Q16" s="44">
        <v>1</v>
      </c>
      <c r="R16" s="5">
        <v>1</v>
      </c>
      <c r="S16" s="5">
        <v>1</v>
      </c>
      <c r="T16" s="5">
        <v>1</v>
      </c>
      <c r="U16" s="5">
        <v>1</v>
      </c>
      <c r="V16" s="48">
        <f t="shared" si="4"/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48">
        <f t="shared" si="5"/>
        <v>1</v>
      </c>
      <c r="AC16" s="44">
        <v>1</v>
      </c>
      <c r="AD16" s="5">
        <v>1</v>
      </c>
      <c r="AE16" s="5">
        <v>1</v>
      </c>
      <c r="AF16" s="5">
        <v>1</v>
      </c>
      <c r="AG16" s="5">
        <v>1</v>
      </c>
      <c r="AH16" s="48">
        <f t="shared" si="6"/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48">
        <f t="shared" si="7"/>
        <v>1</v>
      </c>
      <c r="AO16" s="34">
        <v>1</v>
      </c>
      <c r="AP16" s="5">
        <v>1</v>
      </c>
      <c r="AQ16" s="5">
        <v>1</v>
      </c>
      <c r="AR16" s="5">
        <v>1</v>
      </c>
      <c r="AS16" s="5">
        <v>1</v>
      </c>
      <c r="AT16" s="48">
        <f t="shared" si="8"/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48">
        <f t="shared" si="9"/>
        <v>1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48">
        <f t="shared" si="10"/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48">
        <f t="shared" si="11"/>
        <v>0</v>
      </c>
      <c r="BM16" s="55"/>
      <c r="BN16" s="5"/>
      <c r="BO16" s="5"/>
      <c r="BP16" s="5"/>
      <c r="BQ16" s="5"/>
      <c r="BR16" s="5"/>
      <c r="BS16" s="48">
        <f t="shared" si="12"/>
        <v>0</v>
      </c>
      <c r="BT16" s="5"/>
      <c r="BU16" s="5"/>
      <c r="BV16" s="5"/>
      <c r="BW16" s="5"/>
      <c r="BX16" s="5"/>
      <c r="BY16" s="48">
        <f t="shared" si="13"/>
        <v>0</v>
      </c>
      <c r="BZ16" s="5"/>
      <c r="CA16" s="5"/>
      <c r="CB16" s="5"/>
      <c r="CC16" s="5"/>
      <c r="CD16" s="5"/>
      <c r="CE16" s="48">
        <f t="shared" si="14"/>
        <v>0</v>
      </c>
      <c r="CF16" s="5"/>
      <c r="CG16" s="5"/>
      <c r="CH16" s="5"/>
      <c r="CI16" s="5"/>
      <c r="CJ16" s="5"/>
      <c r="CK16" s="48">
        <f t="shared" si="15"/>
        <v>0</v>
      </c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</row>
    <row r="17" spans="1:116" ht="16" x14ac:dyDescent="0.2">
      <c r="A17" s="7" t="s">
        <v>120</v>
      </c>
      <c r="B17" s="7">
        <v>1</v>
      </c>
      <c r="C17" s="14" t="s">
        <v>119</v>
      </c>
      <c r="D17" s="7" t="s">
        <v>72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59">
        <v>1</v>
      </c>
      <c r="K17" s="59">
        <f>_xlfn.XLOOKUP(C17,'[1]4B_CD'!$C:$C,'[1]4B_CD'!$J:$J,"")</f>
        <v>1</v>
      </c>
      <c r="L17" s="95">
        <f t="shared" si="0"/>
        <v>98.424999999999997</v>
      </c>
      <c r="M17" s="30">
        <f t="shared" si="1"/>
        <v>68.424999999999997</v>
      </c>
      <c r="N17" s="33">
        <f t="shared" si="2"/>
        <v>97.75</v>
      </c>
      <c r="O17" s="33">
        <f t="shared" si="3"/>
        <v>97.75</v>
      </c>
      <c r="P17" s="57">
        <v>9.75</v>
      </c>
      <c r="Q17" s="45">
        <v>1</v>
      </c>
      <c r="R17" s="7">
        <v>1</v>
      </c>
      <c r="S17" s="7">
        <v>1</v>
      </c>
      <c r="T17" s="7">
        <v>1</v>
      </c>
      <c r="U17" s="7">
        <v>1</v>
      </c>
      <c r="V17" s="48">
        <f t="shared" si="4"/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48">
        <f t="shared" si="5"/>
        <v>1</v>
      </c>
      <c r="AC17" s="45">
        <v>1</v>
      </c>
      <c r="AD17" s="7">
        <v>1</v>
      </c>
      <c r="AE17" s="7">
        <v>1</v>
      </c>
      <c r="AF17" s="7">
        <v>1</v>
      </c>
      <c r="AG17" s="7">
        <v>1</v>
      </c>
      <c r="AH17" s="48">
        <f t="shared" si="6"/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48">
        <f t="shared" si="7"/>
        <v>1</v>
      </c>
      <c r="AO17" s="35">
        <v>1</v>
      </c>
      <c r="AP17" s="7">
        <v>1</v>
      </c>
      <c r="AQ17" s="7">
        <v>1</v>
      </c>
      <c r="AR17" s="7">
        <v>1</v>
      </c>
      <c r="AS17" s="7">
        <v>1</v>
      </c>
      <c r="AT17" s="48">
        <f t="shared" si="8"/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48">
        <f t="shared" si="9"/>
        <v>1</v>
      </c>
      <c r="BA17" s="7">
        <v>0.5</v>
      </c>
      <c r="BB17" s="7">
        <v>0.5</v>
      </c>
      <c r="BC17" s="7">
        <v>0</v>
      </c>
      <c r="BD17" s="7">
        <v>0</v>
      </c>
      <c r="BE17" s="7">
        <v>0</v>
      </c>
      <c r="BF17" s="48">
        <f t="shared" si="10"/>
        <v>0.2</v>
      </c>
      <c r="BG17" s="7">
        <v>0.5</v>
      </c>
      <c r="BH17" s="7">
        <v>0.5</v>
      </c>
      <c r="BI17" s="7">
        <v>0</v>
      </c>
      <c r="BJ17" s="7">
        <v>0</v>
      </c>
      <c r="BK17" s="7">
        <v>0</v>
      </c>
      <c r="BL17" s="48">
        <f t="shared" si="11"/>
        <v>0.2</v>
      </c>
      <c r="BM17" s="55"/>
      <c r="BN17" s="7"/>
      <c r="BO17" s="7"/>
      <c r="BP17" s="7"/>
      <c r="BQ17" s="7"/>
      <c r="BR17" s="7"/>
      <c r="BS17" s="48">
        <f>SUM(BN17:BR17)/5*15</f>
        <v>0</v>
      </c>
      <c r="BT17" s="7"/>
      <c r="BU17" s="7"/>
      <c r="BV17" s="7"/>
      <c r="BW17" s="7"/>
      <c r="BX17" s="7"/>
      <c r="BY17" s="48">
        <f t="shared" si="13"/>
        <v>0</v>
      </c>
      <c r="BZ17" s="7"/>
      <c r="CA17" s="7"/>
      <c r="CB17" s="7"/>
      <c r="CC17" s="7"/>
      <c r="CD17" s="7"/>
      <c r="CE17" s="48">
        <f t="shared" si="14"/>
        <v>0</v>
      </c>
      <c r="CF17" s="7"/>
      <c r="CG17" s="7"/>
      <c r="CH17" s="7"/>
      <c r="CI17" s="7"/>
      <c r="CJ17" s="7"/>
      <c r="CK17" s="48">
        <f t="shared" si="15"/>
        <v>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</row>
    <row r="18" spans="1:116" ht="16" x14ac:dyDescent="0.2">
      <c r="A18" s="5" t="s">
        <v>118</v>
      </c>
      <c r="B18" s="5">
        <v>1</v>
      </c>
      <c r="C18" s="13" t="s">
        <v>117</v>
      </c>
      <c r="D18" s="5" t="s">
        <v>72</v>
      </c>
      <c r="E18" s="5">
        <v>1</v>
      </c>
      <c r="F18" s="5">
        <v>1</v>
      </c>
      <c r="G18" s="5"/>
      <c r="H18" s="5">
        <v>1</v>
      </c>
      <c r="I18" s="5"/>
      <c r="J18" s="59">
        <v>1</v>
      </c>
      <c r="K18" s="59">
        <f>_xlfn.XLOOKUP(C18,'[1]4B_CD'!$C:$C,'[1]4B_CD'!$J:$J,"")</f>
        <v>1</v>
      </c>
      <c r="L18" s="95">
        <f t="shared" si="0"/>
        <v>61.849999999999994</v>
      </c>
      <c r="M18" s="30">
        <f t="shared" si="1"/>
        <v>31.849999999999998</v>
      </c>
      <c r="N18" s="33">
        <f t="shared" si="2"/>
        <v>45.5</v>
      </c>
      <c r="O18" s="33">
        <f t="shared" si="3"/>
        <v>45.5</v>
      </c>
      <c r="P18" s="57"/>
      <c r="Q18" s="44">
        <v>1</v>
      </c>
      <c r="R18" s="5">
        <v>1</v>
      </c>
      <c r="S18" s="5">
        <v>1</v>
      </c>
      <c r="T18" s="5">
        <v>1</v>
      </c>
      <c r="U18" s="5">
        <v>1</v>
      </c>
      <c r="V18" s="48">
        <f t="shared" si="4"/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48">
        <f t="shared" si="5"/>
        <v>1</v>
      </c>
      <c r="AC18" s="44">
        <v>0</v>
      </c>
      <c r="AD18" s="5">
        <v>0</v>
      </c>
      <c r="AE18" s="5">
        <v>0</v>
      </c>
      <c r="AF18" s="5">
        <v>0</v>
      </c>
      <c r="AG18" s="5">
        <v>0</v>
      </c>
      <c r="AH18" s="48">
        <f t="shared" si="6"/>
        <v>0</v>
      </c>
      <c r="AI18" s="5">
        <v>1</v>
      </c>
      <c r="AJ18" s="5">
        <v>1</v>
      </c>
      <c r="AK18" s="5">
        <v>1</v>
      </c>
      <c r="AL18" s="5">
        <v>0</v>
      </c>
      <c r="AM18" s="5">
        <v>0</v>
      </c>
      <c r="AN18" s="48">
        <f t="shared" si="7"/>
        <v>0.6</v>
      </c>
      <c r="AO18" s="34">
        <v>0.5</v>
      </c>
      <c r="AP18" s="5">
        <v>0</v>
      </c>
      <c r="AQ18" s="5">
        <v>0</v>
      </c>
      <c r="AR18" s="5">
        <v>0</v>
      </c>
      <c r="AS18" s="5">
        <v>0</v>
      </c>
      <c r="AT18" s="48">
        <f t="shared" si="8"/>
        <v>0.1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48">
        <f t="shared" si="9"/>
        <v>1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48">
        <f t="shared" si="10"/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48">
        <f t="shared" si="11"/>
        <v>0</v>
      </c>
      <c r="BM18" s="55"/>
      <c r="BN18" s="5"/>
      <c r="BO18" s="5"/>
      <c r="BP18" s="5"/>
      <c r="BQ18" s="5"/>
      <c r="BR18" s="5"/>
      <c r="BS18" s="48">
        <f t="shared" si="12"/>
        <v>0</v>
      </c>
      <c r="BT18" s="5"/>
      <c r="BU18" s="5"/>
      <c r="BV18" s="5"/>
      <c r="BW18" s="5"/>
      <c r="BX18" s="5"/>
      <c r="BY18" s="48">
        <f t="shared" si="13"/>
        <v>0</v>
      </c>
      <c r="BZ18" s="5"/>
      <c r="CA18" s="5"/>
      <c r="CB18" s="5"/>
      <c r="CC18" s="5"/>
      <c r="CD18" s="5"/>
      <c r="CE18" s="48">
        <f t="shared" si="14"/>
        <v>0</v>
      </c>
      <c r="CF18" s="5"/>
      <c r="CG18" s="5"/>
      <c r="CH18" s="5"/>
      <c r="CI18" s="5"/>
      <c r="CJ18" s="5"/>
      <c r="CK18" s="48">
        <f t="shared" si="15"/>
        <v>0</v>
      </c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</row>
    <row r="19" spans="1:116" s="70" customFormat="1" ht="16" x14ac:dyDescent="0.2">
      <c r="A19" s="61" t="s">
        <v>116</v>
      </c>
      <c r="B19" s="61">
        <v>1</v>
      </c>
      <c r="C19" s="62" t="s">
        <v>115</v>
      </c>
      <c r="D19" s="61" t="s">
        <v>72</v>
      </c>
      <c r="E19" s="61"/>
      <c r="F19" s="61"/>
      <c r="G19" s="61"/>
      <c r="H19" s="61"/>
      <c r="I19" s="61"/>
      <c r="J19" s="61">
        <v>1</v>
      </c>
      <c r="K19" s="59"/>
      <c r="L19" s="95"/>
      <c r="M19" s="30"/>
      <c r="N19" s="64" t="e">
        <f t="shared" si="2"/>
        <v>#DIV/0!</v>
      </c>
      <c r="O19" s="64" t="e">
        <f t="shared" si="3"/>
        <v>#DIV/0!</v>
      </c>
      <c r="P19" s="65">
        <v>24</v>
      </c>
      <c r="Q19" s="66"/>
      <c r="R19" s="61"/>
      <c r="S19" s="61"/>
      <c r="T19" s="61"/>
      <c r="U19" s="61"/>
      <c r="V19" s="67" t="e">
        <f t="shared" si="4"/>
        <v>#DIV/0!</v>
      </c>
      <c r="W19" s="61"/>
      <c r="X19" s="61"/>
      <c r="Y19" s="61"/>
      <c r="Z19" s="61"/>
      <c r="AA19" s="61"/>
      <c r="AB19" s="67" t="e">
        <f t="shared" si="5"/>
        <v>#DIV/0!</v>
      </c>
      <c r="AC19" s="66"/>
      <c r="AD19" s="61"/>
      <c r="AE19" s="61"/>
      <c r="AF19" s="61"/>
      <c r="AG19" s="61"/>
      <c r="AH19" s="67" t="e">
        <f t="shared" si="6"/>
        <v>#DIV/0!</v>
      </c>
      <c r="AI19" s="61"/>
      <c r="AJ19" s="61"/>
      <c r="AK19" s="61"/>
      <c r="AL19" s="61"/>
      <c r="AM19" s="61"/>
      <c r="AN19" s="67" t="e">
        <f t="shared" si="7"/>
        <v>#DIV/0!</v>
      </c>
      <c r="AO19" s="68"/>
      <c r="AP19" s="61"/>
      <c r="AQ19" s="61"/>
      <c r="AR19" s="61"/>
      <c r="AS19" s="61"/>
      <c r="AT19" s="67" t="e">
        <f t="shared" si="8"/>
        <v>#DIV/0!</v>
      </c>
      <c r="AU19" s="61"/>
      <c r="AV19" s="61"/>
      <c r="AW19" s="61"/>
      <c r="AX19" s="61"/>
      <c r="AY19" s="61"/>
      <c r="AZ19" s="67" t="e">
        <f t="shared" si="9"/>
        <v>#DIV/0!</v>
      </c>
      <c r="BA19" s="61"/>
      <c r="BB19" s="61"/>
      <c r="BC19" s="61"/>
      <c r="BD19" s="61"/>
      <c r="BE19" s="61"/>
      <c r="BF19" s="67" t="e">
        <f t="shared" si="10"/>
        <v>#DIV/0!</v>
      </c>
      <c r="BG19" s="61"/>
      <c r="BH19" s="61"/>
      <c r="BI19" s="61"/>
      <c r="BJ19" s="61"/>
      <c r="BK19" s="61"/>
      <c r="BL19" s="67" t="e">
        <f t="shared" si="11"/>
        <v>#DIV/0!</v>
      </c>
      <c r="BM19" s="69"/>
      <c r="BN19" s="61"/>
      <c r="BO19" s="61"/>
      <c r="BP19" s="61"/>
      <c r="BQ19" s="61"/>
      <c r="BR19" s="61"/>
      <c r="BS19" s="67">
        <f t="shared" si="12"/>
        <v>0</v>
      </c>
      <c r="BT19" s="61"/>
      <c r="BU19" s="61"/>
      <c r="BV19" s="61"/>
      <c r="BW19" s="61"/>
      <c r="BX19" s="61"/>
      <c r="BY19" s="67">
        <f>SUM(BT19:BX19)/5*15</f>
        <v>0</v>
      </c>
      <c r="BZ19" s="61"/>
      <c r="CA19" s="61"/>
      <c r="CB19" s="61"/>
      <c r="CC19" s="61"/>
      <c r="CD19" s="61"/>
      <c r="CE19" s="67">
        <f t="shared" si="14"/>
        <v>0</v>
      </c>
      <c r="CF19" s="61"/>
      <c r="CG19" s="61"/>
      <c r="CH19" s="61"/>
      <c r="CI19" s="61"/>
      <c r="CJ19" s="61"/>
      <c r="CK19" s="67">
        <f t="shared" si="15"/>
        <v>0</v>
      </c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</row>
    <row r="20" spans="1:116" s="70" customFormat="1" ht="16" x14ac:dyDescent="0.2">
      <c r="A20" s="61" t="s">
        <v>114</v>
      </c>
      <c r="B20" s="61">
        <v>1</v>
      </c>
      <c r="C20" s="62" t="s">
        <v>113</v>
      </c>
      <c r="D20" s="61" t="s">
        <v>72</v>
      </c>
      <c r="E20" s="61"/>
      <c r="F20" s="61"/>
      <c r="G20" s="61">
        <v>1</v>
      </c>
      <c r="H20" s="61">
        <v>1</v>
      </c>
      <c r="I20" s="61">
        <v>1</v>
      </c>
      <c r="J20" s="61">
        <v>1</v>
      </c>
      <c r="K20" s="59"/>
      <c r="L20" s="95"/>
      <c r="M20" s="30"/>
      <c r="N20" s="64" t="e">
        <f t="shared" si="2"/>
        <v>#DIV/0!</v>
      </c>
      <c r="O20" s="64" t="e">
        <f t="shared" si="3"/>
        <v>#DIV/0!</v>
      </c>
      <c r="P20" s="65"/>
      <c r="Q20" s="66"/>
      <c r="R20" s="61"/>
      <c r="S20" s="61"/>
      <c r="T20" s="61"/>
      <c r="U20" s="61"/>
      <c r="V20" s="67" t="e">
        <f t="shared" si="4"/>
        <v>#DIV/0!</v>
      </c>
      <c r="W20" s="61"/>
      <c r="X20" s="61"/>
      <c r="Y20" s="61"/>
      <c r="Z20" s="61"/>
      <c r="AA20" s="61"/>
      <c r="AB20" s="67" t="e">
        <f t="shared" si="5"/>
        <v>#DIV/0!</v>
      </c>
      <c r="AC20" s="66"/>
      <c r="AD20" s="61"/>
      <c r="AE20" s="61"/>
      <c r="AF20" s="61"/>
      <c r="AG20" s="61"/>
      <c r="AH20" s="67" t="e">
        <f t="shared" si="6"/>
        <v>#DIV/0!</v>
      </c>
      <c r="AI20" s="61"/>
      <c r="AJ20" s="61"/>
      <c r="AK20" s="61"/>
      <c r="AL20" s="61"/>
      <c r="AM20" s="61"/>
      <c r="AN20" s="67" t="e">
        <f t="shared" si="7"/>
        <v>#DIV/0!</v>
      </c>
      <c r="AO20" s="68"/>
      <c r="AP20" s="61"/>
      <c r="AQ20" s="61"/>
      <c r="AR20" s="61"/>
      <c r="AS20" s="61"/>
      <c r="AT20" s="67" t="e">
        <f t="shared" si="8"/>
        <v>#DIV/0!</v>
      </c>
      <c r="AU20" s="61"/>
      <c r="AV20" s="61"/>
      <c r="AW20" s="61"/>
      <c r="AX20" s="61"/>
      <c r="AY20" s="61"/>
      <c r="AZ20" s="67" t="e">
        <f t="shared" si="9"/>
        <v>#DIV/0!</v>
      </c>
      <c r="BA20" s="61"/>
      <c r="BB20" s="61"/>
      <c r="BC20" s="61"/>
      <c r="BD20" s="61"/>
      <c r="BE20" s="61"/>
      <c r="BF20" s="67" t="e">
        <f t="shared" si="10"/>
        <v>#DIV/0!</v>
      </c>
      <c r="BG20" s="61"/>
      <c r="BH20" s="61"/>
      <c r="BI20" s="61"/>
      <c r="BJ20" s="61"/>
      <c r="BK20" s="61"/>
      <c r="BL20" s="67" t="e">
        <f t="shared" si="11"/>
        <v>#DIV/0!</v>
      </c>
      <c r="BM20" s="69"/>
      <c r="BN20" s="61"/>
      <c r="BO20" s="61"/>
      <c r="BP20" s="61"/>
      <c r="BQ20" s="61"/>
      <c r="BR20" s="61"/>
      <c r="BS20" s="67">
        <f t="shared" si="12"/>
        <v>0</v>
      </c>
      <c r="BT20" s="61"/>
      <c r="BU20" s="61"/>
      <c r="BV20" s="61"/>
      <c r="BW20" s="61"/>
      <c r="BX20" s="61"/>
      <c r="BY20" s="67">
        <f t="shared" si="13"/>
        <v>0</v>
      </c>
      <c r="BZ20" s="61"/>
      <c r="CA20" s="61"/>
      <c r="CB20" s="61"/>
      <c r="CC20" s="61"/>
      <c r="CD20" s="61"/>
      <c r="CE20" s="67">
        <f t="shared" si="14"/>
        <v>0</v>
      </c>
      <c r="CF20" s="61"/>
      <c r="CG20" s="61"/>
      <c r="CH20" s="61"/>
      <c r="CI20" s="61"/>
      <c r="CJ20" s="61"/>
      <c r="CK20" s="67">
        <f t="shared" si="15"/>
        <v>0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</row>
    <row r="21" spans="1:116" ht="16" x14ac:dyDescent="0.2">
      <c r="A21" s="7" t="s">
        <v>112</v>
      </c>
      <c r="B21" s="7">
        <v>1</v>
      </c>
      <c r="C21" s="14" t="s">
        <v>111</v>
      </c>
      <c r="D21" s="7" t="s">
        <v>72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59">
        <v>1</v>
      </c>
      <c r="K21" s="59">
        <f>_xlfn.XLOOKUP(C21,'[1]4B_CD'!$C:$C,'[1]4B_CD'!$J:$J,"")</f>
        <v>1</v>
      </c>
      <c r="L21" s="95">
        <f t="shared" si="0"/>
        <v>44.7</v>
      </c>
      <c r="M21" s="30">
        <f t="shared" si="1"/>
        <v>14.7</v>
      </c>
      <c r="N21" s="33">
        <f t="shared" si="2"/>
        <v>21</v>
      </c>
      <c r="O21" s="33">
        <f t="shared" si="3"/>
        <v>21</v>
      </c>
      <c r="P21" s="57"/>
      <c r="Q21" s="45">
        <v>0</v>
      </c>
      <c r="R21" s="7">
        <v>0</v>
      </c>
      <c r="S21" s="7">
        <v>0</v>
      </c>
      <c r="T21" s="7">
        <v>0</v>
      </c>
      <c r="U21" s="7">
        <v>0</v>
      </c>
      <c r="V21" s="48">
        <f t="shared" si="4"/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48">
        <f t="shared" si="5"/>
        <v>0</v>
      </c>
      <c r="AC21" s="45">
        <v>1</v>
      </c>
      <c r="AD21" s="7">
        <v>1</v>
      </c>
      <c r="AE21" s="7">
        <v>1</v>
      </c>
      <c r="AF21" s="7">
        <v>1</v>
      </c>
      <c r="AG21" s="7">
        <v>1</v>
      </c>
      <c r="AH21" s="48">
        <f t="shared" si="6"/>
        <v>1</v>
      </c>
      <c r="AI21" s="7">
        <v>0.75</v>
      </c>
      <c r="AJ21" s="7">
        <v>0.75</v>
      </c>
      <c r="AK21" s="7">
        <v>0.5</v>
      </c>
      <c r="AL21" s="7">
        <v>0</v>
      </c>
      <c r="AM21" s="7">
        <v>0</v>
      </c>
      <c r="AN21" s="48">
        <f t="shared" si="7"/>
        <v>0.4</v>
      </c>
      <c r="AO21" s="35">
        <v>0</v>
      </c>
      <c r="AP21" s="7">
        <v>0</v>
      </c>
      <c r="AQ21" s="7">
        <v>0</v>
      </c>
      <c r="AR21" s="7">
        <v>0</v>
      </c>
      <c r="AS21" s="7">
        <v>0</v>
      </c>
      <c r="AT21" s="48">
        <f t="shared" si="8"/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48">
        <f t="shared" si="9"/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48">
        <f t="shared" si="10"/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48">
        <f t="shared" si="11"/>
        <v>0</v>
      </c>
      <c r="BM21" s="55"/>
      <c r="BN21" s="7"/>
      <c r="BO21" s="7"/>
      <c r="BP21" s="7"/>
      <c r="BQ21" s="7"/>
      <c r="BR21" s="7"/>
      <c r="BS21" s="48">
        <f t="shared" si="12"/>
        <v>0</v>
      </c>
      <c r="BT21" s="7"/>
      <c r="BU21" s="7"/>
      <c r="BV21" s="7"/>
      <c r="BW21" s="7"/>
      <c r="BX21" s="7"/>
      <c r="BY21" s="48">
        <f t="shared" si="13"/>
        <v>0</v>
      </c>
      <c r="BZ21" s="7"/>
      <c r="CA21" s="7"/>
      <c r="CB21" s="7"/>
      <c r="CC21" s="7"/>
      <c r="CD21" s="7"/>
      <c r="CE21" s="48">
        <f t="shared" si="14"/>
        <v>0</v>
      </c>
      <c r="CF21" s="7"/>
      <c r="CG21" s="7"/>
      <c r="CH21" s="7"/>
      <c r="CI21" s="7"/>
      <c r="CJ21" s="7"/>
      <c r="CK21" s="48">
        <f t="shared" si="15"/>
        <v>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</row>
    <row r="22" spans="1:116" ht="16" x14ac:dyDescent="0.2">
      <c r="A22" s="5" t="s">
        <v>110</v>
      </c>
      <c r="B22" s="5">
        <v>1</v>
      </c>
      <c r="C22" s="13" t="s">
        <v>109</v>
      </c>
      <c r="D22" s="5" t="s">
        <v>72</v>
      </c>
      <c r="E22" s="5">
        <v>1</v>
      </c>
      <c r="F22" s="5"/>
      <c r="G22" s="5">
        <v>1</v>
      </c>
      <c r="H22" s="5">
        <v>1</v>
      </c>
      <c r="I22" s="5">
        <v>1</v>
      </c>
      <c r="J22" s="59">
        <v>1</v>
      </c>
      <c r="K22" s="59">
        <f>_xlfn.XLOOKUP(C22,'[1]4B_CD'!$C:$C,'[1]4B_CD'!$J:$J,"")</f>
        <v>1</v>
      </c>
      <c r="L22" s="95">
        <f t="shared" si="0"/>
        <v>87.4</v>
      </c>
      <c r="M22" s="30">
        <f t="shared" si="1"/>
        <v>57.4</v>
      </c>
      <c r="N22" s="33">
        <f t="shared" si="2"/>
        <v>82</v>
      </c>
      <c r="O22" s="33">
        <f t="shared" si="3"/>
        <v>82</v>
      </c>
      <c r="P22" s="57"/>
      <c r="Q22" s="44">
        <v>1</v>
      </c>
      <c r="R22" s="5">
        <v>1</v>
      </c>
      <c r="S22" s="5">
        <v>1</v>
      </c>
      <c r="T22" s="5">
        <v>1</v>
      </c>
      <c r="U22" s="5">
        <v>1</v>
      </c>
      <c r="V22" s="48">
        <f t="shared" si="4"/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48">
        <f t="shared" si="5"/>
        <v>1</v>
      </c>
      <c r="AC22" s="44">
        <v>1</v>
      </c>
      <c r="AD22" s="5">
        <v>1</v>
      </c>
      <c r="AE22" s="5">
        <v>1</v>
      </c>
      <c r="AF22" s="5">
        <v>1</v>
      </c>
      <c r="AG22" s="5">
        <v>1</v>
      </c>
      <c r="AH22" s="48">
        <f t="shared" si="6"/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48">
        <f t="shared" si="7"/>
        <v>1</v>
      </c>
      <c r="AO22" s="34">
        <v>1</v>
      </c>
      <c r="AP22" s="5">
        <v>1</v>
      </c>
      <c r="AQ22" s="5">
        <v>1</v>
      </c>
      <c r="AR22" s="5">
        <v>1</v>
      </c>
      <c r="AS22" s="5">
        <v>1</v>
      </c>
      <c r="AT22" s="48">
        <f t="shared" si="8"/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48">
        <f t="shared" si="9"/>
        <v>1</v>
      </c>
      <c r="BA22" s="5">
        <v>0.25</v>
      </c>
      <c r="BB22" s="5">
        <v>0</v>
      </c>
      <c r="BC22" s="5">
        <v>0</v>
      </c>
      <c r="BD22" s="5">
        <v>0</v>
      </c>
      <c r="BE22" s="5">
        <v>0</v>
      </c>
      <c r="BF22" s="48">
        <f t="shared" si="10"/>
        <v>0.05</v>
      </c>
      <c r="BG22" s="5">
        <v>0.25</v>
      </c>
      <c r="BH22" s="5">
        <v>0</v>
      </c>
      <c r="BI22" s="5">
        <v>0</v>
      </c>
      <c r="BJ22" s="5">
        <v>0</v>
      </c>
      <c r="BK22" s="5">
        <v>0</v>
      </c>
      <c r="BL22" s="48">
        <f t="shared" si="11"/>
        <v>0.05</v>
      </c>
      <c r="BM22" s="55"/>
      <c r="BN22" s="5"/>
      <c r="BO22" s="5"/>
      <c r="BP22" s="5"/>
      <c r="BQ22" s="5"/>
      <c r="BR22" s="5"/>
      <c r="BS22" s="48">
        <f t="shared" si="12"/>
        <v>0</v>
      </c>
      <c r="BT22" s="5"/>
      <c r="BU22" s="5"/>
      <c r="BV22" s="5"/>
      <c r="BW22" s="5"/>
      <c r="BX22" s="5"/>
      <c r="BY22" s="48">
        <f t="shared" si="13"/>
        <v>0</v>
      </c>
      <c r="BZ22" s="5"/>
      <c r="CA22" s="5"/>
      <c r="CB22" s="5"/>
      <c r="CC22" s="5"/>
      <c r="CD22" s="5"/>
      <c r="CE22" s="48">
        <f t="shared" si="14"/>
        <v>0</v>
      </c>
      <c r="CF22" s="5"/>
      <c r="CG22" s="5"/>
      <c r="CH22" s="5"/>
      <c r="CI22" s="5"/>
      <c r="CJ22" s="5"/>
      <c r="CK22" s="48">
        <f t="shared" si="15"/>
        <v>0</v>
      </c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</row>
    <row r="23" spans="1:116" ht="16" x14ac:dyDescent="0.2">
      <c r="A23" s="7" t="s">
        <v>108</v>
      </c>
      <c r="B23" s="7">
        <v>1</v>
      </c>
      <c r="C23" s="14" t="s">
        <v>107</v>
      </c>
      <c r="D23" s="7" t="s">
        <v>72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59">
        <v>1</v>
      </c>
      <c r="K23" s="59">
        <f>_xlfn.XLOOKUP(C23,'[1]4B_CD'!$C:$C,'[1]4B_CD'!$J:$J,"")</f>
        <v>1</v>
      </c>
      <c r="L23" s="95">
        <f t="shared" si="0"/>
        <v>63.704999999999998</v>
      </c>
      <c r="M23" s="30">
        <f t="shared" si="1"/>
        <v>33.704999999999998</v>
      </c>
      <c r="N23" s="33">
        <f t="shared" si="2"/>
        <v>48.15</v>
      </c>
      <c r="O23" s="33">
        <f t="shared" si="3"/>
        <v>48.15</v>
      </c>
      <c r="P23" s="57"/>
      <c r="Q23" s="45">
        <v>1</v>
      </c>
      <c r="R23" s="7">
        <v>1</v>
      </c>
      <c r="S23" s="7">
        <v>1</v>
      </c>
      <c r="T23" s="7">
        <v>1</v>
      </c>
      <c r="U23" s="7">
        <v>1</v>
      </c>
      <c r="V23" s="48">
        <f t="shared" si="4"/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48">
        <f t="shared" si="5"/>
        <v>1</v>
      </c>
      <c r="AC23" s="45">
        <v>0.75</v>
      </c>
      <c r="AD23" s="7">
        <v>0.75</v>
      </c>
      <c r="AE23" s="7">
        <v>0.75</v>
      </c>
      <c r="AF23" s="7">
        <v>0</v>
      </c>
      <c r="AG23" s="7">
        <v>0.75</v>
      </c>
      <c r="AH23" s="48">
        <f t="shared" si="6"/>
        <v>0.6</v>
      </c>
      <c r="AI23" s="45">
        <v>0.75</v>
      </c>
      <c r="AJ23" s="7">
        <v>0.75</v>
      </c>
      <c r="AK23" s="7">
        <v>0.75</v>
      </c>
      <c r="AL23" s="7">
        <v>0</v>
      </c>
      <c r="AM23" s="7">
        <v>0.75</v>
      </c>
      <c r="AN23" s="48">
        <f t="shared" si="7"/>
        <v>0.6</v>
      </c>
      <c r="AO23" s="35">
        <v>0.75</v>
      </c>
      <c r="AP23" s="7">
        <v>0.8</v>
      </c>
      <c r="AQ23" s="7">
        <v>0.5</v>
      </c>
      <c r="AR23" s="7">
        <v>0</v>
      </c>
      <c r="AS23" s="7">
        <v>0</v>
      </c>
      <c r="AT23" s="48">
        <f t="shared" si="8"/>
        <v>0.41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48">
        <f t="shared" si="9"/>
        <v>0</v>
      </c>
      <c r="BA23" s="7">
        <v>0.5</v>
      </c>
      <c r="BB23" s="7">
        <v>0.5</v>
      </c>
      <c r="BC23" s="7">
        <v>0</v>
      </c>
      <c r="BD23" s="7">
        <v>0</v>
      </c>
      <c r="BE23" s="7">
        <v>0</v>
      </c>
      <c r="BF23" s="48">
        <f t="shared" si="10"/>
        <v>0.2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48">
        <f t="shared" si="11"/>
        <v>0</v>
      </c>
      <c r="BM23" s="55"/>
      <c r="BN23" s="7"/>
      <c r="BO23" s="7"/>
      <c r="BP23" s="7"/>
      <c r="BQ23" s="7"/>
      <c r="BR23" s="7"/>
      <c r="BS23" s="48">
        <f t="shared" si="12"/>
        <v>0</v>
      </c>
      <c r="BT23" s="7"/>
      <c r="BU23" s="7"/>
      <c r="BV23" s="7"/>
      <c r="BW23" s="7"/>
      <c r="BX23" s="7"/>
      <c r="BY23" s="48">
        <f t="shared" si="13"/>
        <v>0</v>
      </c>
      <c r="BZ23" s="7"/>
      <c r="CA23" s="7"/>
      <c r="CB23" s="7"/>
      <c r="CC23" s="7"/>
      <c r="CD23" s="7"/>
      <c r="CE23" s="48">
        <f t="shared" si="14"/>
        <v>0</v>
      </c>
      <c r="CF23" s="7"/>
      <c r="CG23" s="7"/>
      <c r="CH23" s="7"/>
      <c r="CI23" s="7"/>
      <c r="CJ23" s="7"/>
      <c r="CK23" s="48">
        <f t="shared" si="15"/>
        <v>0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</row>
    <row r="24" spans="1:116" ht="16" x14ac:dyDescent="0.2">
      <c r="A24" s="5" t="s">
        <v>106</v>
      </c>
      <c r="B24" s="5">
        <v>1</v>
      </c>
      <c r="C24" s="13" t="s">
        <v>105</v>
      </c>
      <c r="D24" s="5" t="s">
        <v>72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9">
        <v>1</v>
      </c>
      <c r="K24" s="59">
        <f>_xlfn.XLOOKUP(C24,'[1]4B_CD'!$C:$C,'[1]4B_CD'!$J:$J,"")</f>
        <v>1</v>
      </c>
      <c r="L24" s="95">
        <f t="shared" si="0"/>
        <v>71.474999999999994</v>
      </c>
      <c r="M24" s="30">
        <f t="shared" si="1"/>
        <v>41.474999999999994</v>
      </c>
      <c r="N24" s="33">
        <f t="shared" si="2"/>
        <v>59.25</v>
      </c>
      <c r="O24" s="33">
        <f t="shared" si="3"/>
        <v>59.25</v>
      </c>
      <c r="P24" s="57">
        <f>BS24*15</f>
        <v>0.75</v>
      </c>
      <c r="Q24" s="44">
        <v>0.5</v>
      </c>
      <c r="R24" s="5">
        <v>0.5</v>
      </c>
      <c r="S24" s="5">
        <v>0.5</v>
      </c>
      <c r="T24" s="5">
        <v>0</v>
      </c>
      <c r="U24" s="5">
        <v>0</v>
      </c>
      <c r="V24" s="48">
        <f t="shared" si="4"/>
        <v>0.3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48">
        <f t="shared" si="5"/>
        <v>1</v>
      </c>
      <c r="AC24" s="44">
        <v>0.5</v>
      </c>
      <c r="AD24" s="5">
        <v>0.5</v>
      </c>
      <c r="AE24" s="5">
        <v>1</v>
      </c>
      <c r="AF24" s="5">
        <v>1</v>
      </c>
      <c r="AG24" s="5">
        <v>1</v>
      </c>
      <c r="AH24" s="48">
        <f t="shared" si="6"/>
        <v>0.8</v>
      </c>
      <c r="AI24" s="5">
        <v>0.5</v>
      </c>
      <c r="AJ24" s="5">
        <v>0.5</v>
      </c>
      <c r="AK24" s="5">
        <v>0.5</v>
      </c>
      <c r="AL24" s="5">
        <v>0</v>
      </c>
      <c r="AM24" s="5">
        <v>0</v>
      </c>
      <c r="AN24" s="48">
        <f t="shared" si="7"/>
        <v>0.3</v>
      </c>
      <c r="AO24" s="34">
        <v>0.5</v>
      </c>
      <c r="AP24" s="5">
        <v>1</v>
      </c>
      <c r="AQ24" s="5">
        <v>1</v>
      </c>
      <c r="AR24" s="5">
        <v>1</v>
      </c>
      <c r="AS24" s="5">
        <v>1</v>
      </c>
      <c r="AT24" s="48">
        <f t="shared" si="8"/>
        <v>0.9</v>
      </c>
      <c r="AU24" s="5">
        <v>0.5</v>
      </c>
      <c r="AV24" s="5">
        <v>1</v>
      </c>
      <c r="AW24" s="5">
        <v>1</v>
      </c>
      <c r="AX24" s="5">
        <v>1</v>
      </c>
      <c r="AY24" s="5">
        <v>1</v>
      </c>
      <c r="AZ24" s="48">
        <f t="shared" si="9"/>
        <v>0.9</v>
      </c>
      <c r="BA24" s="5">
        <v>0.25</v>
      </c>
      <c r="BB24" s="5">
        <v>0</v>
      </c>
      <c r="BC24" s="5">
        <v>0</v>
      </c>
      <c r="BD24" s="5">
        <v>0</v>
      </c>
      <c r="BE24" s="5">
        <v>0</v>
      </c>
      <c r="BF24" s="48">
        <f t="shared" si="10"/>
        <v>0.05</v>
      </c>
      <c r="BG24" s="5">
        <v>0.25</v>
      </c>
      <c r="BH24" s="5">
        <v>0</v>
      </c>
      <c r="BI24" s="5">
        <v>0</v>
      </c>
      <c r="BJ24" s="5">
        <v>0</v>
      </c>
      <c r="BK24" s="5">
        <v>0</v>
      </c>
      <c r="BL24" s="48">
        <f t="shared" si="11"/>
        <v>0.05</v>
      </c>
      <c r="BM24" s="55"/>
      <c r="BN24" s="5">
        <v>0.25</v>
      </c>
      <c r="BO24" s="5">
        <v>0</v>
      </c>
      <c r="BP24" s="5">
        <v>0</v>
      </c>
      <c r="BQ24" s="5">
        <v>0</v>
      </c>
      <c r="BR24" s="5">
        <v>0</v>
      </c>
      <c r="BS24" s="48">
        <f t="shared" si="12"/>
        <v>0.05</v>
      </c>
      <c r="BT24" s="5"/>
      <c r="BU24" s="5"/>
      <c r="BV24" s="5"/>
      <c r="BW24" s="5"/>
      <c r="BX24" s="5"/>
      <c r="BY24" s="48">
        <f t="shared" si="13"/>
        <v>0</v>
      </c>
      <c r="BZ24" s="5"/>
      <c r="CA24" s="5"/>
      <c r="CB24" s="5"/>
      <c r="CC24" s="5"/>
      <c r="CD24" s="5"/>
      <c r="CE24" s="48">
        <f t="shared" si="14"/>
        <v>0</v>
      </c>
      <c r="CF24" s="5"/>
      <c r="CG24" s="5"/>
      <c r="CH24" s="5"/>
      <c r="CI24" s="5"/>
      <c r="CJ24" s="5"/>
      <c r="CK24" s="48">
        <f t="shared" si="15"/>
        <v>0</v>
      </c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</row>
    <row r="25" spans="1:116" ht="16" x14ac:dyDescent="0.2">
      <c r="A25" s="7" t="s">
        <v>104</v>
      </c>
      <c r="B25" s="7">
        <v>1</v>
      </c>
      <c r="C25" s="14" t="s">
        <v>103</v>
      </c>
      <c r="D25" s="7" t="s">
        <v>72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59">
        <v>1</v>
      </c>
      <c r="K25" s="59">
        <f>_xlfn.XLOOKUP(C25,'[1]4B_CD'!$C:$C,'[1]4B_CD'!$J:$J,"")</f>
        <v>1</v>
      </c>
      <c r="L25" s="95">
        <f t="shared" si="0"/>
        <v>100</v>
      </c>
      <c r="M25" s="30">
        <f t="shared" si="1"/>
        <v>70</v>
      </c>
      <c r="N25" s="33">
        <f t="shared" si="2"/>
        <v>100</v>
      </c>
      <c r="O25" s="33">
        <f t="shared" si="3"/>
        <v>120</v>
      </c>
      <c r="P25" s="57"/>
      <c r="Q25" s="45">
        <v>1</v>
      </c>
      <c r="R25" s="7">
        <v>1</v>
      </c>
      <c r="S25" s="7">
        <v>1</v>
      </c>
      <c r="T25" s="7">
        <v>1</v>
      </c>
      <c r="U25" s="7">
        <v>1</v>
      </c>
      <c r="V25" s="48">
        <f t="shared" si="4"/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48">
        <f t="shared" si="5"/>
        <v>1</v>
      </c>
      <c r="AC25" s="45">
        <v>1</v>
      </c>
      <c r="AD25" s="7">
        <v>1</v>
      </c>
      <c r="AE25" s="7">
        <v>1</v>
      </c>
      <c r="AF25" s="7">
        <v>1</v>
      </c>
      <c r="AG25" s="7">
        <v>1</v>
      </c>
      <c r="AH25" s="48">
        <f t="shared" si="6"/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48">
        <f t="shared" si="7"/>
        <v>1</v>
      </c>
      <c r="AO25" s="35">
        <v>1</v>
      </c>
      <c r="AP25" s="7">
        <v>1</v>
      </c>
      <c r="AQ25" s="7">
        <v>1</v>
      </c>
      <c r="AR25" s="7">
        <v>1</v>
      </c>
      <c r="AS25" s="7">
        <v>1</v>
      </c>
      <c r="AT25" s="48">
        <f t="shared" si="8"/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48">
        <f t="shared" si="9"/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48">
        <f t="shared" si="10"/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48">
        <f t="shared" si="11"/>
        <v>1</v>
      </c>
      <c r="BM25" s="55"/>
      <c r="BN25" s="7"/>
      <c r="BO25" s="7"/>
      <c r="BP25" s="7"/>
      <c r="BQ25" s="7"/>
      <c r="BR25" s="7"/>
      <c r="BS25" s="48">
        <f t="shared" si="12"/>
        <v>0</v>
      </c>
      <c r="BT25" s="7"/>
      <c r="BU25" s="7"/>
      <c r="BV25" s="7"/>
      <c r="BW25" s="7"/>
      <c r="BX25" s="7"/>
      <c r="BY25" s="48">
        <f t="shared" si="13"/>
        <v>0</v>
      </c>
      <c r="BZ25" s="7"/>
      <c r="CA25" s="7"/>
      <c r="CB25" s="7"/>
      <c r="CC25" s="7"/>
      <c r="CD25" s="7"/>
      <c r="CE25" s="48">
        <f t="shared" si="14"/>
        <v>0</v>
      </c>
      <c r="CF25" s="7"/>
      <c r="CG25" s="7"/>
      <c r="CH25" s="7"/>
      <c r="CI25" s="7"/>
      <c r="CJ25" s="7"/>
      <c r="CK25" s="48">
        <f t="shared" si="15"/>
        <v>0</v>
      </c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</row>
    <row r="26" spans="1:116" ht="16" x14ac:dyDescent="0.2">
      <c r="A26" s="5" t="s">
        <v>102</v>
      </c>
      <c r="B26" s="5">
        <v>1</v>
      </c>
      <c r="C26" s="13" t="s">
        <v>101</v>
      </c>
      <c r="D26" s="5" t="s">
        <v>72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9">
        <v>1</v>
      </c>
      <c r="K26" s="59">
        <f>_xlfn.XLOOKUP(C26,'[1]4B_CD'!$C:$C,'[1]4B_CD'!$J:$J,"")</f>
        <v>1</v>
      </c>
      <c r="L26" s="95">
        <f t="shared" si="0"/>
        <v>78.474999999999994</v>
      </c>
      <c r="M26" s="30">
        <f t="shared" si="1"/>
        <v>48.474999999999994</v>
      </c>
      <c r="N26" s="33">
        <f t="shared" si="2"/>
        <v>69.25</v>
      </c>
      <c r="O26" s="33">
        <f t="shared" si="3"/>
        <v>69.25</v>
      </c>
      <c r="P26" s="57">
        <v>15</v>
      </c>
      <c r="Q26" s="44">
        <v>1</v>
      </c>
      <c r="R26" s="5">
        <v>1</v>
      </c>
      <c r="S26" s="5">
        <v>1</v>
      </c>
      <c r="T26" s="5">
        <v>1</v>
      </c>
      <c r="U26" s="5">
        <v>1</v>
      </c>
      <c r="V26" s="48">
        <f t="shared" si="4"/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48">
        <f t="shared" si="5"/>
        <v>1</v>
      </c>
      <c r="AC26" s="44">
        <v>1</v>
      </c>
      <c r="AD26" s="5">
        <v>0.75</v>
      </c>
      <c r="AE26" s="5">
        <v>0.75</v>
      </c>
      <c r="AF26" s="5">
        <v>0.75</v>
      </c>
      <c r="AG26" s="5">
        <v>0.75</v>
      </c>
      <c r="AH26" s="48">
        <f t="shared" si="6"/>
        <v>0.8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48">
        <f t="shared" si="7"/>
        <v>1</v>
      </c>
      <c r="AO26" s="34">
        <v>0.75</v>
      </c>
      <c r="AP26" s="5">
        <v>0.5</v>
      </c>
      <c r="AQ26" s="5">
        <v>0.5</v>
      </c>
      <c r="AR26" s="5">
        <v>0</v>
      </c>
      <c r="AS26" s="5">
        <v>0</v>
      </c>
      <c r="AT26" s="48">
        <f t="shared" si="8"/>
        <v>0.35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48">
        <f t="shared" si="9"/>
        <v>0</v>
      </c>
      <c r="BA26" s="5">
        <v>0.5</v>
      </c>
      <c r="BB26" s="5">
        <v>0</v>
      </c>
      <c r="BC26" s="5">
        <v>0</v>
      </c>
      <c r="BD26" s="5">
        <v>0</v>
      </c>
      <c r="BE26" s="5">
        <v>0</v>
      </c>
      <c r="BF26" s="48">
        <f t="shared" si="10"/>
        <v>0.1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48">
        <f t="shared" si="11"/>
        <v>0</v>
      </c>
      <c r="BM26" s="55"/>
      <c r="BN26" s="5"/>
      <c r="BO26" s="5"/>
      <c r="BP26" s="5"/>
      <c r="BQ26" s="5"/>
      <c r="BR26" s="5"/>
      <c r="BS26" s="48">
        <f t="shared" si="12"/>
        <v>0</v>
      </c>
      <c r="BT26" s="5"/>
      <c r="BU26" s="5"/>
      <c r="BV26" s="5"/>
      <c r="BW26" s="5"/>
      <c r="BX26" s="5"/>
      <c r="BY26" s="48">
        <f t="shared" si="13"/>
        <v>0</v>
      </c>
      <c r="BZ26" s="5"/>
      <c r="CA26" s="5"/>
      <c r="CB26" s="5"/>
      <c r="CC26" s="5"/>
      <c r="CD26" s="5"/>
      <c r="CE26" s="48">
        <f t="shared" si="14"/>
        <v>0</v>
      </c>
      <c r="CF26" s="5"/>
      <c r="CG26" s="5"/>
      <c r="CH26" s="5"/>
      <c r="CI26" s="5"/>
      <c r="CJ26" s="5"/>
      <c r="CK26" s="48">
        <f t="shared" si="15"/>
        <v>0</v>
      </c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</row>
    <row r="27" spans="1:116" ht="16" x14ac:dyDescent="0.2">
      <c r="A27" s="7" t="s">
        <v>100</v>
      </c>
      <c r="B27" s="7">
        <v>1</v>
      </c>
      <c r="C27" s="14" t="s">
        <v>99</v>
      </c>
      <c r="D27" s="7" t="s">
        <v>72</v>
      </c>
      <c r="E27" s="7">
        <v>1</v>
      </c>
      <c r="F27" s="7">
        <v>1</v>
      </c>
      <c r="G27" s="7"/>
      <c r="H27" s="7">
        <v>1</v>
      </c>
      <c r="I27" s="7"/>
      <c r="J27" s="59">
        <v>1</v>
      </c>
      <c r="K27" s="59">
        <f>_xlfn.XLOOKUP(C27,'[1]4B_CD'!$C:$C,'[1]4B_CD'!$J:$J,"")</f>
        <v>1</v>
      </c>
      <c r="L27" s="95">
        <f t="shared" si="0"/>
        <v>30</v>
      </c>
      <c r="M27" s="30">
        <f t="shared" si="1"/>
        <v>0</v>
      </c>
      <c r="N27" s="33">
        <f t="shared" si="2"/>
        <v>0</v>
      </c>
      <c r="O27" s="33">
        <f t="shared" si="3"/>
        <v>0</v>
      </c>
      <c r="P27" s="57"/>
      <c r="Q27" s="45">
        <v>0</v>
      </c>
      <c r="R27" s="7">
        <v>0</v>
      </c>
      <c r="S27" s="7">
        <v>0</v>
      </c>
      <c r="T27" s="7">
        <v>0</v>
      </c>
      <c r="U27" s="7">
        <v>0</v>
      </c>
      <c r="V27" s="48">
        <f t="shared" si="4"/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48">
        <f t="shared" si="5"/>
        <v>0</v>
      </c>
      <c r="AC27" s="45">
        <v>0</v>
      </c>
      <c r="AD27" s="7">
        <v>0</v>
      </c>
      <c r="AE27" s="7">
        <v>0</v>
      </c>
      <c r="AF27" s="7">
        <v>0</v>
      </c>
      <c r="AG27" s="7">
        <v>0</v>
      </c>
      <c r="AH27" s="48">
        <f t="shared" si="6"/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48">
        <f t="shared" si="7"/>
        <v>0</v>
      </c>
      <c r="AO27" s="35">
        <v>0</v>
      </c>
      <c r="AP27" s="7">
        <v>0</v>
      </c>
      <c r="AQ27" s="7">
        <v>0</v>
      </c>
      <c r="AR27" s="7">
        <v>0</v>
      </c>
      <c r="AS27" s="7">
        <v>0</v>
      </c>
      <c r="AT27" s="48">
        <f t="shared" si="8"/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48">
        <f t="shared" si="9"/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48">
        <f t="shared" si="10"/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48">
        <f t="shared" si="11"/>
        <v>0</v>
      </c>
      <c r="BM27" s="55"/>
      <c r="BN27" s="7"/>
      <c r="BO27" s="7"/>
      <c r="BP27" s="7"/>
      <c r="BQ27" s="7"/>
      <c r="BR27" s="7"/>
      <c r="BS27" s="48">
        <f t="shared" si="12"/>
        <v>0</v>
      </c>
      <c r="BT27" s="7"/>
      <c r="BU27" s="7"/>
      <c r="BV27" s="7"/>
      <c r="BW27" s="7"/>
      <c r="BX27" s="7"/>
      <c r="BY27" s="48">
        <f t="shared" si="13"/>
        <v>0</v>
      </c>
      <c r="BZ27" s="7"/>
      <c r="CA27" s="7"/>
      <c r="CB27" s="7"/>
      <c r="CC27" s="7"/>
      <c r="CD27" s="7"/>
      <c r="CE27" s="48">
        <f t="shared" si="14"/>
        <v>0</v>
      </c>
      <c r="CF27" s="7"/>
      <c r="CG27" s="7"/>
      <c r="CH27" s="7"/>
      <c r="CI27" s="7"/>
      <c r="CJ27" s="7"/>
      <c r="CK27" s="48">
        <f t="shared" si="15"/>
        <v>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</row>
    <row r="28" spans="1:116" ht="16" x14ac:dyDescent="0.2">
      <c r="A28" s="5" t="s">
        <v>98</v>
      </c>
      <c r="B28" s="5">
        <v>1</v>
      </c>
      <c r="C28" s="13" t="s">
        <v>97</v>
      </c>
      <c r="D28" s="5" t="s">
        <v>72</v>
      </c>
      <c r="E28" s="5"/>
      <c r="F28" s="5"/>
      <c r="G28" s="5">
        <v>1</v>
      </c>
      <c r="H28" s="5">
        <v>1</v>
      </c>
      <c r="I28" s="5">
        <v>1</v>
      </c>
      <c r="J28" s="59">
        <v>1</v>
      </c>
      <c r="K28" s="59">
        <f>_xlfn.XLOOKUP(C28,'[1]4B_CD'!$C:$C,'[1]4B_CD'!$J:$J,"")</f>
        <v>0.9285714285714286</v>
      </c>
      <c r="L28" s="95">
        <f t="shared" si="0"/>
        <v>82.625714285714295</v>
      </c>
      <c r="M28" s="30">
        <f t="shared" si="1"/>
        <v>53.339999999999996</v>
      </c>
      <c r="N28" s="33">
        <f t="shared" si="2"/>
        <v>76.2</v>
      </c>
      <c r="O28" s="33">
        <f t="shared" si="3"/>
        <v>76.2</v>
      </c>
      <c r="P28" s="57"/>
      <c r="Q28" s="44">
        <v>1</v>
      </c>
      <c r="R28" s="5">
        <v>1</v>
      </c>
      <c r="S28" s="5">
        <v>1</v>
      </c>
      <c r="T28" s="5">
        <v>1</v>
      </c>
      <c r="U28" s="5">
        <v>1</v>
      </c>
      <c r="V28" s="48">
        <f t="shared" si="4"/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48">
        <f t="shared" si="5"/>
        <v>1</v>
      </c>
      <c r="AC28" s="44">
        <v>0.5</v>
      </c>
      <c r="AD28" s="5">
        <v>0.5</v>
      </c>
      <c r="AE28" s="5">
        <v>0.5</v>
      </c>
      <c r="AF28" s="5">
        <v>0</v>
      </c>
      <c r="AG28" s="5">
        <v>0</v>
      </c>
      <c r="AH28" s="48">
        <f t="shared" si="6"/>
        <v>0.3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48">
        <f t="shared" si="7"/>
        <v>1</v>
      </c>
      <c r="AO28" s="34">
        <v>0.75</v>
      </c>
      <c r="AP28" s="5">
        <v>1</v>
      </c>
      <c r="AQ28" s="5">
        <v>0.75</v>
      </c>
      <c r="AR28" s="5">
        <v>0</v>
      </c>
      <c r="AS28" s="5">
        <v>0</v>
      </c>
      <c r="AT28" s="48">
        <f t="shared" si="8"/>
        <v>0.5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48">
        <f t="shared" si="9"/>
        <v>0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48">
        <f t="shared" si="10"/>
        <v>1</v>
      </c>
      <c r="BG28" s="5">
        <v>0.8</v>
      </c>
      <c r="BH28" s="5">
        <v>1</v>
      </c>
      <c r="BI28" s="5">
        <v>0.5</v>
      </c>
      <c r="BJ28" s="5">
        <v>0</v>
      </c>
      <c r="BK28" s="5">
        <v>0</v>
      </c>
      <c r="BL28" s="48">
        <f t="shared" si="11"/>
        <v>0.45999999999999996</v>
      </c>
      <c r="BM28" s="55"/>
      <c r="BN28" s="5"/>
      <c r="BO28" s="5"/>
      <c r="BP28" s="5"/>
      <c r="BQ28" s="5"/>
      <c r="BR28" s="5"/>
      <c r="BS28" s="48">
        <f t="shared" si="12"/>
        <v>0</v>
      </c>
      <c r="BT28" s="5"/>
      <c r="BU28" s="5"/>
      <c r="BV28" s="5"/>
      <c r="BW28" s="5"/>
      <c r="BX28" s="5"/>
      <c r="BY28" s="48">
        <f t="shared" si="13"/>
        <v>0</v>
      </c>
      <c r="BZ28" s="5"/>
      <c r="CA28" s="5"/>
      <c r="CB28" s="5"/>
      <c r="CC28" s="5"/>
      <c r="CD28" s="5"/>
      <c r="CE28" s="48">
        <f t="shared" si="14"/>
        <v>0</v>
      </c>
      <c r="CF28" s="5"/>
      <c r="CG28" s="5"/>
      <c r="CH28" s="5"/>
      <c r="CI28" s="5"/>
      <c r="CJ28" s="5"/>
      <c r="CK28" s="48">
        <f t="shared" si="15"/>
        <v>0</v>
      </c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</row>
    <row r="29" spans="1:116" ht="16" x14ac:dyDescent="0.2">
      <c r="A29" s="7" t="s">
        <v>96</v>
      </c>
      <c r="B29" s="7">
        <v>1</v>
      </c>
      <c r="C29" s="14" t="s">
        <v>95</v>
      </c>
      <c r="D29" s="7" t="s">
        <v>72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59">
        <v>1</v>
      </c>
      <c r="K29" s="59">
        <f>_xlfn.XLOOKUP(C29,'[1]4B_CD'!$C:$C,'[1]4B_CD'!$J:$J,"")</f>
        <v>0.5</v>
      </c>
      <c r="L29" s="95">
        <f t="shared" si="0"/>
        <v>70.5</v>
      </c>
      <c r="M29" s="30">
        <f t="shared" si="1"/>
        <v>45.5</v>
      </c>
      <c r="N29" s="33">
        <f t="shared" si="2"/>
        <v>65</v>
      </c>
      <c r="O29" s="33">
        <f t="shared" si="3"/>
        <v>65</v>
      </c>
      <c r="P29" s="57"/>
      <c r="Q29" s="45">
        <v>1</v>
      </c>
      <c r="R29" s="7">
        <v>1</v>
      </c>
      <c r="S29" s="7">
        <v>1</v>
      </c>
      <c r="T29" s="7">
        <v>1</v>
      </c>
      <c r="U29" s="7">
        <v>1</v>
      </c>
      <c r="V29" s="48">
        <f t="shared" si="4"/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48">
        <f t="shared" si="5"/>
        <v>1</v>
      </c>
      <c r="AC29" s="45">
        <v>1</v>
      </c>
      <c r="AD29" s="7">
        <v>1</v>
      </c>
      <c r="AE29" s="7">
        <v>1</v>
      </c>
      <c r="AF29" s="7">
        <v>1</v>
      </c>
      <c r="AG29" s="7">
        <v>1</v>
      </c>
      <c r="AH29" s="48">
        <f t="shared" si="6"/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48">
        <f t="shared" si="7"/>
        <v>1</v>
      </c>
      <c r="AO29" s="35">
        <v>1</v>
      </c>
      <c r="AP29" s="7">
        <v>1</v>
      </c>
      <c r="AQ29" s="7">
        <v>1</v>
      </c>
      <c r="AR29" s="7">
        <v>1</v>
      </c>
      <c r="AS29" s="7">
        <v>1</v>
      </c>
      <c r="AT29" s="48">
        <f t="shared" si="8"/>
        <v>1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48">
        <f t="shared" si="9"/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48">
        <f t="shared" si="10"/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48">
        <f t="shared" si="11"/>
        <v>0</v>
      </c>
      <c r="BM29" s="55"/>
      <c r="BN29" s="7"/>
      <c r="BO29" s="7"/>
      <c r="BP29" s="7"/>
      <c r="BQ29" s="7"/>
      <c r="BR29" s="7"/>
      <c r="BS29" s="48">
        <f t="shared" si="12"/>
        <v>0</v>
      </c>
      <c r="BT29" s="7"/>
      <c r="BU29" s="7"/>
      <c r="BV29" s="7"/>
      <c r="BW29" s="7"/>
      <c r="BX29" s="7"/>
      <c r="BY29" s="48">
        <f t="shared" si="13"/>
        <v>0</v>
      </c>
      <c r="BZ29" s="7"/>
      <c r="CA29" s="7"/>
      <c r="CB29" s="7"/>
      <c r="CC29" s="7"/>
      <c r="CD29" s="7"/>
      <c r="CE29" s="48">
        <f t="shared" si="14"/>
        <v>0</v>
      </c>
      <c r="CF29" s="7"/>
      <c r="CG29" s="7"/>
      <c r="CH29" s="7"/>
      <c r="CI29" s="7"/>
      <c r="CJ29" s="7"/>
      <c r="CK29" s="48">
        <f t="shared" si="15"/>
        <v>0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</row>
    <row r="30" spans="1:116" ht="16" x14ac:dyDescent="0.2">
      <c r="A30" s="5" t="s">
        <v>94</v>
      </c>
      <c r="B30" s="5">
        <v>1</v>
      </c>
      <c r="C30" s="13" t="s">
        <v>93</v>
      </c>
      <c r="D30" s="5" t="s">
        <v>72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9">
        <v>1</v>
      </c>
      <c r="K30" s="59">
        <f>_xlfn.XLOOKUP(C30,'[1]4B_CD'!$C:$C,'[1]4B_CD'!$J:$J,"")</f>
        <v>0.92307692307692313</v>
      </c>
      <c r="L30" s="95">
        <f t="shared" si="0"/>
        <v>68.500769230769222</v>
      </c>
      <c r="M30" s="30">
        <f t="shared" si="1"/>
        <v>39.269999999999996</v>
      </c>
      <c r="N30" s="33">
        <f t="shared" si="2"/>
        <v>56.1</v>
      </c>
      <c r="O30" s="33">
        <f t="shared" si="3"/>
        <v>56.1</v>
      </c>
      <c r="P30" s="57"/>
      <c r="Q30" s="44">
        <v>1</v>
      </c>
      <c r="R30" s="5">
        <v>1</v>
      </c>
      <c r="S30" s="5">
        <v>1</v>
      </c>
      <c r="T30" s="5">
        <v>1</v>
      </c>
      <c r="U30" s="5">
        <v>1</v>
      </c>
      <c r="V30" s="48">
        <f t="shared" si="4"/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48">
        <f t="shared" si="5"/>
        <v>1</v>
      </c>
      <c r="AC30" s="44">
        <v>0.75</v>
      </c>
      <c r="AD30" s="5">
        <v>1</v>
      </c>
      <c r="AE30" s="5">
        <v>0.5</v>
      </c>
      <c r="AF30" s="5">
        <v>0</v>
      </c>
      <c r="AG30" s="5">
        <v>0</v>
      </c>
      <c r="AH30" s="48">
        <f t="shared" si="6"/>
        <v>0.45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48">
        <f t="shared" si="7"/>
        <v>0</v>
      </c>
      <c r="AO30" s="34">
        <v>0.75</v>
      </c>
      <c r="AP30" s="5">
        <v>1</v>
      </c>
      <c r="AQ30" s="5">
        <v>0.5</v>
      </c>
      <c r="AR30" s="5">
        <v>0</v>
      </c>
      <c r="AS30" s="5">
        <v>0</v>
      </c>
      <c r="AT30" s="48">
        <f t="shared" si="8"/>
        <v>0.45</v>
      </c>
      <c r="AU30" s="5">
        <v>0.8</v>
      </c>
      <c r="AV30" s="5">
        <v>1</v>
      </c>
      <c r="AW30" s="5">
        <v>0.8</v>
      </c>
      <c r="AX30" s="5">
        <v>0.8</v>
      </c>
      <c r="AY30" s="5">
        <v>0.8</v>
      </c>
      <c r="AZ30" s="48">
        <f t="shared" si="9"/>
        <v>0.84000000000000008</v>
      </c>
      <c r="BA30" s="5">
        <v>0.5</v>
      </c>
      <c r="BB30" s="5">
        <v>0.5</v>
      </c>
      <c r="BC30" s="5">
        <v>0.5</v>
      </c>
      <c r="BD30" s="5">
        <v>0</v>
      </c>
      <c r="BE30" s="5">
        <v>0</v>
      </c>
      <c r="BF30" s="48">
        <f t="shared" si="10"/>
        <v>0.3</v>
      </c>
      <c r="BG30" s="5">
        <v>0.5</v>
      </c>
      <c r="BH30" s="5">
        <v>0.5</v>
      </c>
      <c r="BI30" s="5">
        <v>0</v>
      </c>
      <c r="BJ30" s="5">
        <v>0</v>
      </c>
      <c r="BK30" s="5">
        <v>0</v>
      </c>
      <c r="BL30" s="48">
        <f t="shared" si="11"/>
        <v>0.2</v>
      </c>
      <c r="BM30" s="55"/>
      <c r="BN30" s="5"/>
      <c r="BO30" s="5"/>
      <c r="BP30" s="5"/>
      <c r="BQ30" s="5"/>
      <c r="BR30" s="5"/>
      <c r="BS30" s="48">
        <f t="shared" si="12"/>
        <v>0</v>
      </c>
      <c r="BT30" s="5"/>
      <c r="BU30" s="5"/>
      <c r="BV30" s="5"/>
      <c r="BW30" s="5"/>
      <c r="BX30" s="5"/>
      <c r="BY30" s="48">
        <f t="shared" si="13"/>
        <v>0</v>
      </c>
      <c r="BZ30" s="5"/>
      <c r="CA30" s="5"/>
      <c r="CB30" s="5"/>
      <c r="CC30" s="5"/>
      <c r="CD30" s="5"/>
      <c r="CE30" s="48">
        <f t="shared" si="14"/>
        <v>0</v>
      </c>
      <c r="CF30" s="5"/>
      <c r="CG30" s="5"/>
      <c r="CH30" s="5"/>
      <c r="CI30" s="5"/>
      <c r="CJ30" s="5"/>
      <c r="CK30" s="48">
        <f t="shared" si="15"/>
        <v>0</v>
      </c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</row>
    <row r="31" spans="1:116" ht="16" x14ac:dyDescent="0.2">
      <c r="A31" s="7" t="s">
        <v>92</v>
      </c>
      <c r="B31" s="7">
        <v>1</v>
      </c>
      <c r="C31" s="14" t="s">
        <v>91</v>
      </c>
      <c r="D31" s="7" t="s">
        <v>72</v>
      </c>
      <c r="E31" s="7">
        <v>1</v>
      </c>
      <c r="F31" s="7"/>
      <c r="G31" s="7">
        <v>1</v>
      </c>
      <c r="H31" s="7">
        <v>1</v>
      </c>
      <c r="I31" s="7">
        <v>1</v>
      </c>
      <c r="J31" s="59">
        <v>1</v>
      </c>
      <c r="K31" s="59">
        <f>_xlfn.XLOOKUP(C31,'[1]4B_CD'!$C:$C,'[1]4B_CD'!$J:$J,"")</f>
        <v>1</v>
      </c>
      <c r="L31" s="95">
        <f t="shared" si="0"/>
        <v>100</v>
      </c>
      <c r="M31" s="30">
        <f t="shared" si="1"/>
        <v>70</v>
      </c>
      <c r="N31" s="33">
        <f t="shared" si="2"/>
        <v>100</v>
      </c>
      <c r="O31" s="33">
        <f t="shared" si="3"/>
        <v>117</v>
      </c>
      <c r="P31" s="57"/>
      <c r="Q31" s="45">
        <v>1</v>
      </c>
      <c r="R31" s="7">
        <v>1</v>
      </c>
      <c r="S31" s="7">
        <v>1</v>
      </c>
      <c r="T31" s="7">
        <v>1</v>
      </c>
      <c r="U31" s="7">
        <v>1</v>
      </c>
      <c r="V31" s="48">
        <f t="shared" si="4"/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48">
        <f t="shared" si="5"/>
        <v>1</v>
      </c>
      <c r="AC31" s="45">
        <v>1</v>
      </c>
      <c r="AD31" s="7">
        <v>1</v>
      </c>
      <c r="AE31" s="7">
        <v>1</v>
      </c>
      <c r="AF31" s="7">
        <v>1</v>
      </c>
      <c r="AG31" s="7">
        <v>1</v>
      </c>
      <c r="AH31" s="48">
        <f t="shared" si="6"/>
        <v>1</v>
      </c>
      <c r="AI31" s="7">
        <v>1</v>
      </c>
      <c r="AJ31" s="7">
        <v>0.75</v>
      </c>
      <c r="AK31" s="7">
        <v>0.75</v>
      </c>
      <c r="AL31" s="7">
        <v>0.75</v>
      </c>
      <c r="AM31" s="7">
        <v>0.75</v>
      </c>
      <c r="AN31" s="48">
        <f t="shared" si="7"/>
        <v>0.8</v>
      </c>
      <c r="AO31" s="35">
        <v>1</v>
      </c>
      <c r="AP31" s="7">
        <v>1</v>
      </c>
      <c r="AQ31" s="7">
        <v>1</v>
      </c>
      <c r="AR31" s="7">
        <v>1</v>
      </c>
      <c r="AS31" s="7">
        <v>1</v>
      </c>
      <c r="AT31" s="48">
        <f t="shared" si="8"/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48">
        <f t="shared" si="9"/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48">
        <f t="shared" si="10"/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48">
        <f t="shared" si="11"/>
        <v>1</v>
      </c>
      <c r="BM31" s="55"/>
      <c r="BN31" s="7"/>
      <c r="BO31" s="7"/>
      <c r="BP31" s="7"/>
      <c r="BQ31" s="7"/>
      <c r="BR31" s="7"/>
      <c r="BS31" s="48">
        <f t="shared" si="12"/>
        <v>0</v>
      </c>
      <c r="BT31" s="7"/>
      <c r="BU31" s="7"/>
      <c r="BV31" s="7"/>
      <c r="BW31" s="7"/>
      <c r="BX31" s="7"/>
      <c r="BY31" s="48">
        <f t="shared" si="13"/>
        <v>0</v>
      </c>
      <c r="BZ31" s="7"/>
      <c r="CA31" s="7"/>
      <c r="CB31" s="7"/>
      <c r="CC31" s="7">
        <v>1</v>
      </c>
      <c r="CD31" s="7"/>
      <c r="CE31" s="48">
        <f t="shared" si="14"/>
        <v>0.2</v>
      </c>
      <c r="CF31" s="7"/>
      <c r="CG31" s="7"/>
      <c r="CH31" s="7"/>
      <c r="CI31" s="7">
        <v>1</v>
      </c>
      <c r="CJ31" s="7"/>
      <c r="CK31" s="48">
        <f t="shared" si="15"/>
        <v>0.2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</row>
    <row r="32" spans="1:116" ht="16" x14ac:dyDescent="0.2">
      <c r="A32" s="5" t="s">
        <v>90</v>
      </c>
      <c r="B32" s="5">
        <v>1</v>
      </c>
      <c r="C32" s="13" t="s">
        <v>89</v>
      </c>
      <c r="D32" s="5" t="s">
        <v>72</v>
      </c>
      <c r="E32" s="5">
        <v>1</v>
      </c>
      <c r="F32" s="5">
        <v>1</v>
      </c>
      <c r="G32" s="5"/>
      <c r="H32" s="5">
        <v>1</v>
      </c>
      <c r="I32" s="5"/>
      <c r="J32" s="59">
        <v>1</v>
      </c>
      <c r="K32" s="59">
        <f>_xlfn.XLOOKUP(C32,'[1]4B_CD'!$C:$C,'[1]4B_CD'!$J:$J,"")</f>
        <v>1</v>
      </c>
      <c r="L32" s="95">
        <f t="shared" si="0"/>
        <v>51.56</v>
      </c>
      <c r="M32" s="30">
        <f t="shared" si="1"/>
        <v>21.56</v>
      </c>
      <c r="N32" s="33">
        <f t="shared" si="2"/>
        <v>30.8</v>
      </c>
      <c r="O32" s="33">
        <f t="shared" si="3"/>
        <v>30.8</v>
      </c>
      <c r="P32" s="57"/>
      <c r="Q32" s="44">
        <v>1</v>
      </c>
      <c r="R32" s="5">
        <v>1</v>
      </c>
      <c r="S32" s="5">
        <v>1</v>
      </c>
      <c r="T32" s="5">
        <v>1</v>
      </c>
      <c r="U32" s="5">
        <v>1</v>
      </c>
      <c r="V32" s="48">
        <f t="shared" si="4"/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48">
        <f t="shared" si="5"/>
        <v>1</v>
      </c>
      <c r="AC32" s="44">
        <v>0.5</v>
      </c>
      <c r="AD32" s="5">
        <v>0.5</v>
      </c>
      <c r="AE32" s="5">
        <v>0</v>
      </c>
      <c r="AF32" s="5">
        <v>0</v>
      </c>
      <c r="AG32" s="5">
        <v>0</v>
      </c>
      <c r="AH32" s="48">
        <f t="shared" si="6"/>
        <v>0.2</v>
      </c>
      <c r="AI32" s="5">
        <v>1</v>
      </c>
      <c r="AJ32" s="5">
        <v>0.8</v>
      </c>
      <c r="AK32" s="5">
        <v>0.8</v>
      </c>
      <c r="AL32" s="5">
        <v>0</v>
      </c>
      <c r="AM32" s="5">
        <v>0</v>
      </c>
      <c r="AN32" s="48">
        <f t="shared" si="7"/>
        <v>0.52</v>
      </c>
      <c r="AO32" s="34">
        <v>0</v>
      </c>
      <c r="AP32" s="5">
        <v>0</v>
      </c>
      <c r="AQ32" s="5">
        <v>0</v>
      </c>
      <c r="AR32" s="5">
        <v>0</v>
      </c>
      <c r="AS32" s="5">
        <v>0</v>
      </c>
      <c r="AT32" s="48">
        <f t="shared" si="8"/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48">
        <f t="shared" si="9"/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48">
        <f t="shared" si="10"/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48">
        <f t="shared" si="11"/>
        <v>0</v>
      </c>
      <c r="BM32" s="55"/>
      <c r="BN32" s="5"/>
      <c r="BO32" s="5"/>
      <c r="BP32" s="5"/>
      <c r="BQ32" s="5"/>
      <c r="BR32" s="5"/>
      <c r="BS32" s="48">
        <f t="shared" si="12"/>
        <v>0</v>
      </c>
      <c r="BT32" s="5"/>
      <c r="BU32" s="5"/>
      <c r="BV32" s="5"/>
      <c r="BW32" s="5"/>
      <c r="BX32" s="5"/>
      <c r="BY32" s="48">
        <f t="shared" si="13"/>
        <v>0</v>
      </c>
      <c r="BZ32" s="5"/>
      <c r="CA32" s="5"/>
      <c r="CB32" s="5"/>
      <c r="CC32" s="5"/>
      <c r="CD32" s="5"/>
      <c r="CE32" s="48">
        <f t="shared" si="14"/>
        <v>0</v>
      </c>
      <c r="CF32" s="5"/>
      <c r="CG32" s="5"/>
      <c r="CH32" s="5"/>
      <c r="CI32" s="5"/>
      <c r="CJ32" s="5"/>
      <c r="CK32" s="48">
        <f t="shared" si="15"/>
        <v>0</v>
      </c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</row>
    <row r="33" spans="1:116" ht="16" x14ac:dyDescent="0.2">
      <c r="A33" s="7" t="s">
        <v>88</v>
      </c>
      <c r="B33" s="7">
        <v>1</v>
      </c>
      <c r="C33" s="14" t="s">
        <v>87</v>
      </c>
      <c r="D33" s="7" t="s">
        <v>72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59">
        <v>1</v>
      </c>
      <c r="K33" s="59">
        <f>_xlfn.XLOOKUP(C33,'[1]4B_CD'!$C:$C,'[1]4B_CD'!$J:$J,"")</f>
        <v>1</v>
      </c>
      <c r="L33" s="95">
        <f t="shared" si="0"/>
        <v>99.3</v>
      </c>
      <c r="M33" s="30">
        <f t="shared" si="1"/>
        <v>69.3</v>
      </c>
      <c r="N33" s="33">
        <f t="shared" si="2"/>
        <v>99</v>
      </c>
      <c r="O33" s="33">
        <f t="shared" si="3"/>
        <v>99</v>
      </c>
      <c r="P33" s="57">
        <v>15</v>
      </c>
      <c r="Q33" s="45">
        <v>1</v>
      </c>
      <c r="R33" s="7">
        <v>1</v>
      </c>
      <c r="S33" s="7">
        <v>1</v>
      </c>
      <c r="T33" s="7">
        <v>1</v>
      </c>
      <c r="U33" s="7">
        <v>1</v>
      </c>
      <c r="V33" s="48">
        <f t="shared" si="4"/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48">
        <f t="shared" si="5"/>
        <v>1</v>
      </c>
      <c r="AC33" s="45">
        <v>1</v>
      </c>
      <c r="AD33" s="7">
        <v>1</v>
      </c>
      <c r="AE33" s="7">
        <v>1</v>
      </c>
      <c r="AF33" s="7">
        <v>1</v>
      </c>
      <c r="AG33" s="7">
        <v>1</v>
      </c>
      <c r="AH33" s="48">
        <f t="shared" si="6"/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48">
        <f t="shared" si="7"/>
        <v>1</v>
      </c>
      <c r="AO33" s="35">
        <v>1</v>
      </c>
      <c r="AP33" s="7">
        <v>1</v>
      </c>
      <c r="AQ33" s="7">
        <v>1</v>
      </c>
      <c r="AR33" s="7">
        <v>1</v>
      </c>
      <c r="AS33" s="7">
        <v>1</v>
      </c>
      <c r="AT33" s="48">
        <f t="shared" si="8"/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48">
        <f t="shared" si="9"/>
        <v>1</v>
      </c>
      <c r="BA33" s="7">
        <v>0.5</v>
      </c>
      <c r="BB33" s="7">
        <v>0.5</v>
      </c>
      <c r="BC33" s="7">
        <v>0</v>
      </c>
      <c r="BD33" s="7">
        <v>0</v>
      </c>
      <c r="BE33" s="7">
        <v>0</v>
      </c>
      <c r="BF33" s="48">
        <f t="shared" si="10"/>
        <v>0.2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48">
        <f t="shared" si="11"/>
        <v>0</v>
      </c>
      <c r="BM33" s="55"/>
      <c r="BN33" s="7"/>
      <c r="BO33" s="7"/>
      <c r="BP33" s="7"/>
      <c r="BQ33" s="7"/>
      <c r="BR33" s="7"/>
      <c r="BS33" s="48">
        <f t="shared" si="12"/>
        <v>0</v>
      </c>
      <c r="BT33" s="7"/>
      <c r="BU33" s="7"/>
      <c r="BV33" s="7"/>
      <c r="BW33" s="7"/>
      <c r="BX33" s="7"/>
      <c r="BY33" s="48">
        <f t="shared" si="13"/>
        <v>0</v>
      </c>
      <c r="BZ33" s="7"/>
      <c r="CA33" s="7"/>
      <c r="CB33" s="7"/>
      <c r="CC33" s="7"/>
      <c r="CD33" s="7"/>
      <c r="CE33" s="48">
        <f t="shared" si="14"/>
        <v>0</v>
      </c>
      <c r="CF33" s="7"/>
      <c r="CG33" s="7"/>
      <c r="CH33" s="7"/>
      <c r="CI33" s="7"/>
      <c r="CJ33" s="7"/>
      <c r="CK33" s="48">
        <f t="shared" si="15"/>
        <v>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</row>
    <row r="34" spans="1:116" ht="16" x14ac:dyDescent="0.2">
      <c r="A34" s="5" t="s">
        <v>86</v>
      </c>
      <c r="B34" s="5">
        <v>1</v>
      </c>
      <c r="C34" s="13" t="s">
        <v>85</v>
      </c>
      <c r="D34" s="5" t="s">
        <v>72</v>
      </c>
      <c r="E34" s="5"/>
      <c r="F34" s="5"/>
      <c r="G34" s="5"/>
      <c r="H34" s="5"/>
      <c r="I34" s="5">
        <v>1</v>
      </c>
      <c r="J34" s="59">
        <v>1</v>
      </c>
      <c r="K34" s="59">
        <f>_xlfn.XLOOKUP(C34,'[1]4B_CD'!$C:$C,'[1]4B_CD'!$J:$J,"")</f>
        <v>0.9285714285714286</v>
      </c>
      <c r="L34" s="95">
        <f t="shared" si="0"/>
        <v>45.735714285714288</v>
      </c>
      <c r="M34" s="30">
        <f t="shared" si="1"/>
        <v>16.45</v>
      </c>
      <c r="N34" s="33">
        <f t="shared" si="2"/>
        <v>23.5</v>
      </c>
      <c r="O34" s="33">
        <f t="shared" si="3"/>
        <v>23.5</v>
      </c>
      <c r="P34" s="57">
        <v>0</v>
      </c>
      <c r="Q34" s="44">
        <v>1</v>
      </c>
      <c r="R34" s="5">
        <v>1</v>
      </c>
      <c r="S34" s="5">
        <v>1</v>
      </c>
      <c r="T34" s="5">
        <v>1</v>
      </c>
      <c r="U34" s="5">
        <v>1</v>
      </c>
      <c r="V34" s="48">
        <f t="shared" si="4"/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48">
        <f t="shared" si="5"/>
        <v>1</v>
      </c>
      <c r="AC34" s="44">
        <v>0</v>
      </c>
      <c r="AD34" s="5">
        <v>0</v>
      </c>
      <c r="AE34" s="5">
        <v>0</v>
      </c>
      <c r="AF34" s="5">
        <v>0</v>
      </c>
      <c r="AG34" s="5">
        <v>0</v>
      </c>
      <c r="AH34" s="48">
        <f t="shared" si="6"/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48">
        <f t="shared" si="7"/>
        <v>0</v>
      </c>
      <c r="AO34" s="34">
        <v>0.5</v>
      </c>
      <c r="AP34" s="5">
        <v>0</v>
      </c>
      <c r="AQ34" s="5">
        <v>0</v>
      </c>
      <c r="AR34" s="5">
        <v>0</v>
      </c>
      <c r="AS34" s="5">
        <v>0</v>
      </c>
      <c r="AT34" s="48">
        <f t="shared" si="8"/>
        <v>0.1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8">
        <f t="shared" si="9"/>
        <v>0</v>
      </c>
      <c r="BA34" s="5">
        <v>0.5</v>
      </c>
      <c r="BB34" s="5">
        <v>0</v>
      </c>
      <c r="BC34" s="5">
        <v>0</v>
      </c>
      <c r="BD34" s="5">
        <v>0</v>
      </c>
      <c r="BE34" s="5">
        <v>0</v>
      </c>
      <c r="BF34" s="48">
        <f t="shared" si="10"/>
        <v>0.1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48">
        <f t="shared" si="11"/>
        <v>0</v>
      </c>
      <c r="BM34" s="55"/>
      <c r="BN34" s="5"/>
      <c r="BO34" s="5"/>
      <c r="BP34" s="5"/>
      <c r="BQ34" s="5"/>
      <c r="BR34" s="5"/>
      <c r="BS34" s="48">
        <f t="shared" si="12"/>
        <v>0</v>
      </c>
      <c r="BT34" s="5"/>
      <c r="BU34" s="5"/>
      <c r="BV34" s="5"/>
      <c r="BW34" s="5"/>
      <c r="BX34" s="5"/>
      <c r="BY34" s="48">
        <f t="shared" si="13"/>
        <v>0</v>
      </c>
      <c r="BZ34" s="5"/>
      <c r="CA34" s="5"/>
      <c r="CB34" s="5"/>
      <c r="CC34" s="5"/>
      <c r="CD34" s="5"/>
      <c r="CE34" s="48">
        <f t="shared" si="14"/>
        <v>0</v>
      </c>
      <c r="CF34" s="5"/>
      <c r="CG34" s="5"/>
      <c r="CH34" s="5"/>
      <c r="CI34" s="5"/>
      <c r="CJ34" s="5"/>
      <c r="CK34" s="48">
        <f t="shared" si="15"/>
        <v>0</v>
      </c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</row>
    <row r="35" spans="1:116" s="70" customFormat="1" ht="16" x14ac:dyDescent="0.2">
      <c r="A35" s="61" t="s">
        <v>84</v>
      </c>
      <c r="B35" s="61">
        <v>1</v>
      </c>
      <c r="C35" s="62" t="s">
        <v>83</v>
      </c>
      <c r="D35" s="61" t="s">
        <v>72</v>
      </c>
      <c r="E35" s="61"/>
      <c r="F35" s="61"/>
      <c r="G35" s="61"/>
      <c r="H35" s="61">
        <v>1</v>
      </c>
      <c r="I35" s="61">
        <v>1</v>
      </c>
      <c r="J35" s="61">
        <v>1</v>
      </c>
      <c r="K35" s="59"/>
      <c r="L35" s="95"/>
      <c r="M35" s="30"/>
      <c r="N35" s="64" t="e">
        <f t="shared" si="2"/>
        <v>#DIV/0!</v>
      </c>
      <c r="O35" s="64" t="e">
        <f t="shared" si="3"/>
        <v>#DIV/0!</v>
      </c>
      <c r="P35" s="65"/>
      <c r="Q35" s="66"/>
      <c r="R35" s="61"/>
      <c r="S35" s="61"/>
      <c r="T35" s="61"/>
      <c r="U35" s="61"/>
      <c r="V35" s="67" t="e">
        <f t="shared" si="4"/>
        <v>#DIV/0!</v>
      </c>
      <c r="W35" s="61"/>
      <c r="X35" s="61"/>
      <c r="Y35" s="61"/>
      <c r="Z35" s="61"/>
      <c r="AA35" s="61"/>
      <c r="AB35" s="67" t="e">
        <f t="shared" si="5"/>
        <v>#DIV/0!</v>
      </c>
      <c r="AC35" s="66"/>
      <c r="AD35" s="61"/>
      <c r="AE35" s="61"/>
      <c r="AF35" s="61"/>
      <c r="AG35" s="61"/>
      <c r="AH35" s="67" t="e">
        <f t="shared" si="6"/>
        <v>#DIV/0!</v>
      </c>
      <c r="AI35" s="61"/>
      <c r="AJ35" s="61"/>
      <c r="AK35" s="61"/>
      <c r="AL35" s="61"/>
      <c r="AM35" s="61"/>
      <c r="AN35" s="67" t="e">
        <f t="shared" si="7"/>
        <v>#DIV/0!</v>
      </c>
      <c r="AO35" s="68"/>
      <c r="AP35" s="61"/>
      <c r="AQ35" s="61"/>
      <c r="AR35" s="61"/>
      <c r="AS35" s="61"/>
      <c r="AT35" s="67" t="e">
        <f t="shared" si="8"/>
        <v>#DIV/0!</v>
      </c>
      <c r="AU35" s="61"/>
      <c r="AV35" s="61"/>
      <c r="AW35" s="61"/>
      <c r="AX35" s="61"/>
      <c r="AY35" s="61"/>
      <c r="AZ35" s="67" t="e">
        <f t="shared" si="9"/>
        <v>#DIV/0!</v>
      </c>
      <c r="BA35" s="61"/>
      <c r="BB35" s="61"/>
      <c r="BC35" s="61"/>
      <c r="BD35" s="61"/>
      <c r="BE35" s="61"/>
      <c r="BF35" s="67" t="e">
        <f t="shared" si="10"/>
        <v>#DIV/0!</v>
      </c>
      <c r="BG35" s="61"/>
      <c r="BH35" s="61"/>
      <c r="BI35" s="61"/>
      <c r="BJ35" s="61"/>
      <c r="BK35" s="61"/>
      <c r="BL35" s="67" t="e">
        <f t="shared" si="11"/>
        <v>#DIV/0!</v>
      </c>
      <c r="BM35" s="69"/>
      <c r="BN35" s="61"/>
      <c r="BO35" s="61"/>
      <c r="BP35" s="61"/>
      <c r="BQ35" s="61"/>
      <c r="BR35" s="61"/>
      <c r="BS35" s="67">
        <f t="shared" si="12"/>
        <v>0</v>
      </c>
      <c r="BT35" s="61"/>
      <c r="BU35" s="61"/>
      <c r="BV35" s="61"/>
      <c r="BW35" s="61"/>
      <c r="BX35" s="61"/>
      <c r="BY35" s="67">
        <f t="shared" si="13"/>
        <v>0</v>
      </c>
      <c r="BZ35" s="61"/>
      <c r="CA35" s="61"/>
      <c r="CB35" s="61"/>
      <c r="CC35" s="61"/>
      <c r="CD35" s="61"/>
      <c r="CE35" s="67">
        <f t="shared" si="14"/>
        <v>0</v>
      </c>
      <c r="CF35" s="61"/>
      <c r="CG35" s="61"/>
      <c r="CH35" s="61"/>
      <c r="CI35" s="61"/>
      <c r="CJ35" s="61"/>
      <c r="CK35" s="67">
        <f t="shared" si="15"/>
        <v>0</v>
      </c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</row>
    <row r="36" spans="1:116" ht="16" x14ac:dyDescent="0.2">
      <c r="A36" s="5" t="s">
        <v>82</v>
      </c>
      <c r="B36" s="5">
        <v>1</v>
      </c>
      <c r="C36" s="13" t="s">
        <v>81</v>
      </c>
      <c r="D36" s="5" t="s">
        <v>72</v>
      </c>
      <c r="E36" s="5">
        <v>1</v>
      </c>
      <c r="F36" s="5">
        <v>1</v>
      </c>
      <c r="G36" s="5">
        <v>1</v>
      </c>
      <c r="H36" s="5">
        <v>1</v>
      </c>
      <c r="I36" s="5"/>
      <c r="J36" s="59">
        <v>1</v>
      </c>
      <c r="K36" s="59">
        <f>_xlfn.XLOOKUP(C36,'[1]4B_CD'!$C:$C,'[1]4B_CD'!$J:$J,"")</f>
        <v>1</v>
      </c>
      <c r="L36" s="95">
        <f t="shared" si="0"/>
        <v>74.8</v>
      </c>
      <c r="M36" s="30">
        <f t="shared" si="1"/>
        <v>44.8</v>
      </c>
      <c r="N36" s="33">
        <f t="shared" si="2"/>
        <v>64</v>
      </c>
      <c r="O36" s="33">
        <f t="shared" si="3"/>
        <v>64</v>
      </c>
      <c r="P36" s="57"/>
      <c r="Q36" s="44">
        <v>0</v>
      </c>
      <c r="R36" s="5">
        <v>0</v>
      </c>
      <c r="S36" s="5">
        <v>0</v>
      </c>
      <c r="T36" s="5">
        <v>0</v>
      </c>
      <c r="U36" s="5">
        <v>0</v>
      </c>
      <c r="V36" s="48">
        <f t="shared" si="4"/>
        <v>0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48">
        <f t="shared" si="5"/>
        <v>1</v>
      </c>
      <c r="AC36" s="44">
        <v>1</v>
      </c>
      <c r="AD36" s="5">
        <v>1</v>
      </c>
      <c r="AE36" s="5">
        <v>1</v>
      </c>
      <c r="AF36" s="5">
        <v>1</v>
      </c>
      <c r="AG36" s="5">
        <v>1</v>
      </c>
      <c r="AH36" s="48">
        <f t="shared" si="6"/>
        <v>1</v>
      </c>
      <c r="AI36" s="5">
        <v>1</v>
      </c>
      <c r="AJ36" s="5">
        <v>1</v>
      </c>
      <c r="AK36" s="5">
        <v>1</v>
      </c>
      <c r="AL36" s="5">
        <v>0</v>
      </c>
      <c r="AM36" s="5">
        <v>1</v>
      </c>
      <c r="AN36" s="48">
        <f t="shared" si="7"/>
        <v>0.8</v>
      </c>
      <c r="AO36" s="34">
        <v>1</v>
      </c>
      <c r="AP36" s="5">
        <v>1</v>
      </c>
      <c r="AQ36" s="5">
        <v>1</v>
      </c>
      <c r="AR36" s="5">
        <v>0</v>
      </c>
      <c r="AS36" s="5">
        <v>1</v>
      </c>
      <c r="AT36" s="48">
        <f t="shared" si="8"/>
        <v>0.8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48">
        <f t="shared" si="9"/>
        <v>1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48">
        <f t="shared" si="10"/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48">
        <f t="shared" si="11"/>
        <v>0</v>
      </c>
      <c r="BM36" s="55"/>
      <c r="BN36" s="5"/>
      <c r="BO36" s="5"/>
      <c r="BP36" s="5"/>
      <c r="BQ36" s="5"/>
      <c r="BR36" s="5"/>
      <c r="BS36" s="48">
        <f t="shared" si="12"/>
        <v>0</v>
      </c>
      <c r="BT36" s="5"/>
      <c r="BU36" s="5"/>
      <c r="BV36" s="5"/>
      <c r="BW36" s="5"/>
      <c r="BX36" s="5"/>
      <c r="BY36" s="48">
        <f t="shared" si="13"/>
        <v>0</v>
      </c>
      <c r="BZ36" s="5"/>
      <c r="CA36" s="5"/>
      <c r="CB36" s="5"/>
      <c r="CC36" s="5"/>
      <c r="CD36" s="5"/>
      <c r="CE36" s="48">
        <f t="shared" si="14"/>
        <v>0</v>
      </c>
      <c r="CF36" s="5"/>
      <c r="CG36" s="5"/>
      <c r="CH36" s="5"/>
      <c r="CI36" s="5"/>
      <c r="CJ36" s="5"/>
      <c r="CK36" s="48">
        <f t="shared" si="15"/>
        <v>0</v>
      </c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</row>
    <row r="37" spans="1:116" ht="16" x14ac:dyDescent="0.2">
      <c r="A37" s="7" t="s">
        <v>80</v>
      </c>
      <c r="B37" s="7">
        <v>1</v>
      </c>
      <c r="C37" s="14" t="s">
        <v>79</v>
      </c>
      <c r="D37" s="7" t="s">
        <v>72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59">
        <v>1</v>
      </c>
      <c r="K37" s="59">
        <f>_xlfn.XLOOKUP(C37,'[1]4B_CD'!$C:$C,'[1]4B_CD'!$J:$J,"")</f>
        <v>1</v>
      </c>
      <c r="L37" s="95">
        <f t="shared" si="0"/>
        <v>100</v>
      </c>
      <c r="M37" s="30">
        <f t="shared" si="1"/>
        <v>70</v>
      </c>
      <c r="N37" s="33">
        <f t="shared" si="2"/>
        <v>100</v>
      </c>
      <c r="O37" s="33">
        <f>V37*10+AB37*10+AH37*15+AN37*15+AT37*15+AZ37*15+BF37*20+BL37*20+P37</f>
        <v>140.6</v>
      </c>
      <c r="P37" s="57">
        <v>32</v>
      </c>
      <c r="Q37" s="45">
        <v>1</v>
      </c>
      <c r="R37" s="7">
        <v>1</v>
      </c>
      <c r="S37" s="7">
        <v>1</v>
      </c>
      <c r="T37" s="7">
        <v>1</v>
      </c>
      <c r="U37" s="7">
        <v>1</v>
      </c>
      <c r="V37" s="48">
        <f t="shared" si="4"/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48">
        <f t="shared" si="5"/>
        <v>1</v>
      </c>
      <c r="AC37" s="45">
        <v>1</v>
      </c>
      <c r="AD37" s="7">
        <v>1</v>
      </c>
      <c r="AE37" s="7">
        <v>1</v>
      </c>
      <c r="AF37" s="7">
        <v>1</v>
      </c>
      <c r="AG37" s="7">
        <v>1</v>
      </c>
      <c r="AH37" s="48">
        <f t="shared" si="6"/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48">
        <f t="shared" si="7"/>
        <v>1</v>
      </c>
      <c r="AO37" s="35">
        <v>1</v>
      </c>
      <c r="AP37" s="7">
        <v>1</v>
      </c>
      <c r="AQ37" s="7">
        <v>1</v>
      </c>
      <c r="AR37" s="7">
        <v>1</v>
      </c>
      <c r="AS37" s="7">
        <v>1</v>
      </c>
      <c r="AT37" s="48">
        <f t="shared" si="8"/>
        <v>1</v>
      </c>
      <c r="AU37" s="7">
        <v>1</v>
      </c>
      <c r="AV37" s="7">
        <v>0.8</v>
      </c>
      <c r="AW37" s="7">
        <v>0.8</v>
      </c>
      <c r="AX37" s="7">
        <v>0.8</v>
      </c>
      <c r="AY37" s="7">
        <v>0.8</v>
      </c>
      <c r="AZ37" s="48">
        <f t="shared" si="9"/>
        <v>0.84000000000000008</v>
      </c>
      <c r="BA37" s="7">
        <v>1</v>
      </c>
      <c r="BB37" s="7">
        <v>1</v>
      </c>
      <c r="BC37" s="7">
        <v>1</v>
      </c>
      <c r="BD37" s="7">
        <v>0.75</v>
      </c>
      <c r="BE37" s="7">
        <v>0.5</v>
      </c>
      <c r="BF37" s="48">
        <f t="shared" si="10"/>
        <v>0.85</v>
      </c>
      <c r="BG37" s="7">
        <v>0.75</v>
      </c>
      <c r="BH37" s="7">
        <v>1</v>
      </c>
      <c r="BI37" s="7">
        <v>0.75</v>
      </c>
      <c r="BJ37" s="7">
        <v>0.5</v>
      </c>
      <c r="BK37" s="7">
        <v>0.5</v>
      </c>
      <c r="BL37" s="48">
        <f t="shared" si="11"/>
        <v>0.7</v>
      </c>
      <c r="BM37" s="55"/>
      <c r="BN37" s="7">
        <v>0.5</v>
      </c>
      <c r="BO37" s="7">
        <v>1</v>
      </c>
      <c r="BP37" s="7">
        <v>0.5</v>
      </c>
      <c r="BQ37" s="7">
        <v>0.5</v>
      </c>
      <c r="BR37" s="7">
        <v>0.5</v>
      </c>
      <c r="BS37" s="48">
        <f>SUM(BN37:BR37)/5*0.2</f>
        <v>0.12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48">
        <f>SUM(BT37:BX37)/5*0.2</f>
        <v>0.2</v>
      </c>
      <c r="BZ37" s="7"/>
      <c r="CA37" s="7"/>
      <c r="CB37" s="7"/>
      <c r="CC37" s="7"/>
      <c r="CD37" s="7"/>
      <c r="CE37" s="48">
        <f t="shared" si="14"/>
        <v>0</v>
      </c>
      <c r="CF37" s="7"/>
      <c r="CG37" s="7"/>
      <c r="CH37" s="7"/>
      <c r="CI37" s="7"/>
      <c r="CJ37" s="7"/>
      <c r="CK37" s="48">
        <f t="shared" si="15"/>
        <v>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</row>
    <row r="38" spans="1:116" ht="16" x14ac:dyDescent="0.2">
      <c r="A38" s="5" t="s">
        <v>78</v>
      </c>
      <c r="B38" s="5">
        <v>1</v>
      </c>
      <c r="C38" s="13" t="s">
        <v>77</v>
      </c>
      <c r="D38" s="5" t="s">
        <v>72</v>
      </c>
      <c r="E38" s="5">
        <v>1</v>
      </c>
      <c r="F38" s="5"/>
      <c r="G38" s="5">
        <v>1</v>
      </c>
      <c r="H38" s="5">
        <v>1</v>
      </c>
      <c r="I38" s="5">
        <v>1</v>
      </c>
      <c r="J38" s="59">
        <v>1</v>
      </c>
      <c r="K38" s="59">
        <f>_xlfn.XLOOKUP(C38,'[1]4B_CD'!$C:$C,'[1]4B_CD'!$J:$J,"")</f>
        <v>1</v>
      </c>
      <c r="L38" s="95">
        <f t="shared" si="0"/>
        <v>100</v>
      </c>
      <c r="M38" s="30">
        <f t="shared" si="1"/>
        <v>70</v>
      </c>
      <c r="N38" s="33">
        <f t="shared" si="2"/>
        <v>100</v>
      </c>
      <c r="O38" s="33">
        <f t="shared" si="3"/>
        <v>135</v>
      </c>
      <c r="P38" s="57">
        <v>15</v>
      </c>
      <c r="Q38" s="44">
        <v>1</v>
      </c>
      <c r="R38" s="5">
        <v>1</v>
      </c>
      <c r="S38" s="5">
        <v>1</v>
      </c>
      <c r="T38" s="5">
        <v>1</v>
      </c>
      <c r="U38" s="5">
        <v>1</v>
      </c>
      <c r="V38" s="48">
        <f t="shared" si="4"/>
        <v>1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48">
        <f t="shared" si="5"/>
        <v>1</v>
      </c>
      <c r="AC38" s="44">
        <v>1</v>
      </c>
      <c r="AD38" s="5">
        <v>1</v>
      </c>
      <c r="AE38" s="5">
        <v>1</v>
      </c>
      <c r="AF38" s="5">
        <v>1</v>
      </c>
      <c r="AG38" s="5">
        <v>1</v>
      </c>
      <c r="AH38" s="48">
        <f t="shared" si="6"/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48">
        <f t="shared" si="7"/>
        <v>1</v>
      </c>
      <c r="AO38" s="34">
        <v>1</v>
      </c>
      <c r="AP38" s="5">
        <v>1</v>
      </c>
      <c r="AQ38" s="5">
        <v>1</v>
      </c>
      <c r="AR38" s="5">
        <v>1</v>
      </c>
      <c r="AS38" s="5">
        <v>1</v>
      </c>
      <c r="AT38" s="48">
        <f t="shared" si="8"/>
        <v>1</v>
      </c>
      <c r="AU38" s="5">
        <v>1</v>
      </c>
      <c r="AV38" s="5">
        <v>1</v>
      </c>
      <c r="AW38" s="5">
        <v>1</v>
      </c>
      <c r="AX38" s="5">
        <v>1</v>
      </c>
      <c r="AY38" s="5">
        <v>1</v>
      </c>
      <c r="AZ38" s="48">
        <f t="shared" si="9"/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48">
        <f t="shared" si="10"/>
        <v>1</v>
      </c>
      <c r="BG38" s="5">
        <v>1</v>
      </c>
      <c r="BH38" s="5">
        <v>1</v>
      </c>
      <c r="BI38" s="5">
        <v>1</v>
      </c>
      <c r="BJ38" s="5">
        <v>1</v>
      </c>
      <c r="BK38" s="5">
        <v>1</v>
      </c>
      <c r="BL38" s="48">
        <f t="shared" si="11"/>
        <v>1</v>
      </c>
      <c r="BM38" s="55"/>
      <c r="BN38" s="5"/>
      <c r="BO38" s="5"/>
      <c r="BP38" s="5"/>
      <c r="BQ38" s="5"/>
      <c r="BR38" s="5"/>
      <c r="BS38" s="48">
        <f t="shared" si="12"/>
        <v>0</v>
      </c>
      <c r="BT38" s="5"/>
      <c r="BU38" s="5"/>
      <c r="BV38" s="5"/>
      <c r="BW38" s="5"/>
      <c r="BX38" s="5"/>
      <c r="BY38" s="48">
        <f t="shared" si="13"/>
        <v>0</v>
      </c>
      <c r="BZ38" s="5"/>
      <c r="CA38" s="5"/>
      <c r="CB38" s="5"/>
      <c r="CC38" s="5"/>
      <c r="CD38" s="5"/>
      <c r="CE38" s="48">
        <f t="shared" si="14"/>
        <v>0</v>
      </c>
      <c r="CF38" s="5"/>
      <c r="CG38" s="5"/>
      <c r="CH38" s="5"/>
      <c r="CI38" s="5"/>
      <c r="CJ38" s="5"/>
      <c r="CK38" s="48">
        <f t="shared" si="15"/>
        <v>0</v>
      </c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</row>
    <row r="39" spans="1:116" ht="16" x14ac:dyDescent="0.2">
      <c r="A39" s="7" t="s">
        <v>76</v>
      </c>
      <c r="B39" s="7">
        <v>1</v>
      </c>
      <c r="C39" s="14" t="s">
        <v>75</v>
      </c>
      <c r="D39" s="7" t="s">
        <v>72</v>
      </c>
      <c r="E39" s="7"/>
      <c r="F39" s="7"/>
      <c r="G39" s="7">
        <v>1</v>
      </c>
      <c r="H39" s="7">
        <v>1</v>
      </c>
      <c r="I39" s="7">
        <v>1</v>
      </c>
      <c r="J39" s="59">
        <v>1</v>
      </c>
      <c r="K39" s="59">
        <f>_xlfn.XLOOKUP(C39,'[1]4B_CD'!$C:$C,'[1]4B_CD'!$J:$J,"")</f>
        <v>1</v>
      </c>
      <c r="L39" s="95">
        <f t="shared" si="0"/>
        <v>59.4</v>
      </c>
      <c r="M39" s="30">
        <f t="shared" si="1"/>
        <v>29.4</v>
      </c>
      <c r="N39" s="33">
        <f t="shared" si="2"/>
        <v>42</v>
      </c>
      <c r="O39" s="33">
        <f t="shared" si="3"/>
        <v>42</v>
      </c>
      <c r="P39" s="57"/>
      <c r="Q39" s="45">
        <v>1</v>
      </c>
      <c r="R39" s="7">
        <v>1</v>
      </c>
      <c r="S39" s="7">
        <v>1</v>
      </c>
      <c r="T39" s="7">
        <v>0</v>
      </c>
      <c r="U39" s="7">
        <v>0</v>
      </c>
      <c r="V39" s="48">
        <f t="shared" si="4"/>
        <v>0.6</v>
      </c>
      <c r="W39" s="7">
        <v>1</v>
      </c>
      <c r="X39" s="7">
        <v>1</v>
      </c>
      <c r="Y39" s="7">
        <v>1</v>
      </c>
      <c r="Z39" s="7">
        <v>0</v>
      </c>
      <c r="AA39" s="7">
        <v>0</v>
      </c>
      <c r="AB39" s="48">
        <f t="shared" si="5"/>
        <v>0.6</v>
      </c>
      <c r="AC39" s="45">
        <v>0.5</v>
      </c>
      <c r="AD39" s="7">
        <v>0.5</v>
      </c>
      <c r="AE39" s="7">
        <v>0</v>
      </c>
      <c r="AF39" s="7">
        <v>0</v>
      </c>
      <c r="AG39" s="7">
        <v>0</v>
      </c>
      <c r="AH39" s="48">
        <f t="shared" si="6"/>
        <v>0.2</v>
      </c>
      <c r="AI39" s="7">
        <v>1</v>
      </c>
      <c r="AJ39" s="7">
        <v>1</v>
      </c>
      <c r="AK39" s="7">
        <v>1</v>
      </c>
      <c r="AL39" s="7">
        <v>0</v>
      </c>
      <c r="AM39" s="7">
        <v>0</v>
      </c>
      <c r="AN39" s="48">
        <f t="shared" si="7"/>
        <v>0.6</v>
      </c>
      <c r="AO39" s="35">
        <v>1</v>
      </c>
      <c r="AP39" s="7">
        <v>1</v>
      </c>
      <c r="AQ39" s="7">
        <v>1</v>
      </c>
      <c r="AR39" s="7">
        <v>0</v>
      </c>
      <c r="AS39" s="7">
        <v>0</v>
      </c>
      <c r="AT39" s="48">
        <f t="shared" si="8"/>
        <v>0.6</v>
      </c>
      <c r="AU39" s="7">
        <v>1</v>
      </c>
      <c r="AV39" s="7">
        <v>1</v>
      </c>
      <c r="AW39" s="7">
        <v>1</v>
      </c>
      <c r="AX39" s="7">
        <v>0</v>
      </c>
      <c r="AY39" s="7">
        <v>0</v>
      </c>
      <c r="AZ39" s="48">
        <f t="shared" si="9"/>
        <v>0.6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48">
        <f t="shared" si="10"/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48">
        <f t="shared" si="11"/>
        <v>0</v>
      </c>
      <c r="BM39" s="55"/>
      <c r="BN39" s="7"/>
      <c r="BO39" s="7"/>
      <c r="BP39" s="7"/>
      <c r="BQ39" s="7"/>
      <c r="BR39" s="7"/>
      <c r="BS39" s="48">
        <f t="shared" si="12"/>
        <v>0</v>
      </c>
      <c r="BT39" s="7"/>
      <c r="BU39" s="7"/>
      <c r="BV39" s="7"/>
      <c r="BW39" s="7"/>
      <c r="BX39" s="7"/>
      <c r="BY39" s="48">
        <f t="shared" si="13"/>
        <v>0</v>
      </c>
      <c r="BZ39" s="7"/>
      <c r="CA39" s="7"/>
      <c r="CB39" s="7"/>
      <c r="CC39" s="7"/>
      <c r="CD39" s="7"/>
      <c r="CE39" s="48">
        <f t="shared" si="14"/>
        <v>0</v>
      </c>
      <c r="CF39" s="7"/>
      <c r="CG39" s="7"/>
      <c r="CH39" s="7"/>
      <c r="CI39" s="7"/>
      <c r="CJ39" s="7"/>
      <c r="CK39" s="48">
        <f t="shared" si="15"/>
        <v>0</v>
      </c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</row>
    <row r="40" spans="1:116" s="70" customFormat="1" ht="16" x14ac:dyDescent="0.2">
      <c r="A40" s="61" t="s">
        <v>74</v>
      </c>
      <c r="B40" s="61">
        <v>1</v>
      </c>
      <c r="C40" s="62" t="s">
        <v>73</v>
      </c>
      <c r="D40" s="61" t="s">
        <v>72</v>
      </c>
      <c r="E40" s="61">
        <v>1</v>
      </c>
      <c r="F40" s="61"/>
      <c r="G40" s="61">
        <v>1</v>
      </c>
      <c r="H40" s="61"/>
      <c r="I40" s="61"/>
      <c r="J40" s="70">
        <v>1</v>
      </c>
      <c r="K40" s="59"/>
      <c r="L40" s="95"/>
      <c r="M40" s="30"/>
      <c r="N40" s="64" t="e">
        <f t="shared" si="2"/>
        <v>#DIV/0!</v>
      </c>
      <c r="O40" s="64" t="e">
        <f t="shared" ref="O40:O41" si="16">V40*10+AB40*10+AH40*15+AN40*15+AT40*15+AZ40*15+BF40*20+BL40*20+P40</f>
        <v>#DIV/0!</v>
      </c>
      <c r="P40" s="65">
        <v>15</v>
      </c>
      <c r="Q40" s="66"/>
      <c r="R40" s="61"/>
      <c r="S40" s="61"/>
      <c r="T40" s="61"/>
      <c r="U40" s="61"/>
      <c r="V40" s="67" t="e">
        <f t="shared" ref="V40:V41" si="17">AVERAGE(Q40:U40)</f>
        <v>#DIV/0!</v>
      </c>
      <c r="W40" s="61"/>
      <c r="X40" s="61"/>
      <c r="Y40" s="61"/>
      <c r="Z40" s="61"/>
      <c r="AA40" s="61"/>
      <c r="AB40" s="67" t="e">
        <f t="shared" ref="AB40:AB41" si="18">AVERAGE(W40:AA40)</f>
        <v>#DIV/0!</v>
      </c>
      <c r="AC40" s="66"/>
      <c r="AD40" s="61"/>
      <c r="AE40" s="61"/>
      <c r="AF40" s="61"/>
      <c r="AG40" s="61"/>
      <c r="AH40" s="67" t="e">
        <f t="shared" ref="AH40:AH41" si="19">AVERAGE(AC40:AG40)</f>
        <v>#DIV/0!</v>
      </c>
      <c r="AI40" s="61"/>
      <c r="AJ40" s="61"/>
      <c r="AK40" s="61"/>
      <c r="AL40" s="61"/>
      <c r="AM40" s="61"/>
      <c r="AN40" s="67" t="e">
        <f t="shared" ref="AN40:AN41" si="20">AVERAGE(AI40:AM40)</f>
        <v>#DIV/0!</v>
      </c>
      <c r="AO40" s="68"/>
      <c r="AP40" s="61"/>
      <c r="AQ40" s="61"/>
      <c r="AR40" s="61"/>
      <c r="AS40" s="61"/>
      <c r="AT40" s="67" t="e">
        <f t="shared" ref="AT40:AT41" si="21">AVERAGE(AO40:AS40)</f>
        <v>#DIV/0!</v>
      </c>
      <c r="AU40" s="61"/>
      <c r="AV40" s="61"/>
      <c r="AW40" s="61"/>
      <c r="AX40" s="61"/>
      <c r="AY40" s="61"/>
      <c r="AZ40" s="67" t="e">
        <f t="shared" ref="AZ40:AZ41" si="22">AVERAGE(AU40:AY40)</f>
        <v>#DIV/0!</v>
      </c>
      <c r="BA40" s="61"/>
      <c r="BB40" s="61"/>
      <c r="BC40" s="61"/>
      <c r="BD40" s="61"/>
      <c r="BE40" s="61"/>
      <c r="BF40" s="67" t="e">
        <f t="shared" ref="BF40:BF41" si="23">AVERAGE(BA40:BE40)</f>
        <v>#DIV/0!</v>
      </c>
      <c r="BG40" s="61"/>
      <c r="BH40" s="61"/>
      <c r="BI40" s="61"/>
      <c r="BJ40" s="61"/>
      <c r="BK40" s="61"/>
      <c r="BL40" s="67" t="e">
        <f t="shared" ref="BL40:BL41" si="24">AVERAGE(BG40:BK40)</f>
        <v>#DIV/0!</v>
      </c>
      <c r="BM40" s="69"/>
      <c r="BN40" s="61"/>
      <c r="BO40" s="61"/>
      <c r="BP40" s="61"/>
      <c r="BQ40" s="61"/>
      <c r="BR40" s="61"/>
      <c r="BS40" s="67">
        <f t="shared" ref="BS40:BS41" si="25">SUM(BN40:BR40)/5</f>
        <v>0</v>
      </c>
      <c r="BT40" s="61"/>
      <c r="BU40" s="61"/>
      <c r="BV40" s="61"/>
      <c r="BW40" s="61"/>
      <c r="BX40" s="61"/>
      <c r="BY40" s="67">
        <f t="shared" ref="BY40:BY41" si="26">SUM(BT40:BX40)/5</f>
        <v>0</v>
      </c>
      <c r="BZ40" s="61"/>
      <c r="CA40" s="61"/>
      <c r="CB40" s="61"/>
      <c r="CC40" s="61"/>
      <c r="CD40" s="61"/>
      <c r="CE40" s="67">
        <f t="shared" ref="CE40:CE41" si="27">SUM(BZ40:CD40)/5</f>
        <v>0</v>
      </c>
      <c r="CF40" s="61"/>
      <c r="CG40" s="61"/>
      <c r="CH40" s="61"/>
      <c r="CI40" s="61"/>
      <c r="CJ40" s="61"/>
      <c r="CK40" s="67">
        <f t="shared" ref="CK40:CK41" si="28">SUM(CF40:CJ40)/5</f>
        <v>0</v>
      </c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</row>
    <row r="41" spans="1:116" ht="16" x14ac:dyDescent="0.2">
      <c r="C41" s="15" t="s">
        <v>775</v>
      </c>
      <c r="J41" s="4">
        <v>1</v>
      </c>
      <c r="K41" s="92">
        <f>_xlfn.XLOOKUP(C41,'[1]4B_CD'!$C:$C,'[1]4B_CD'!$J:$J,"")</f>
        <v>0.5</v>
      </c>
      <c r="L41" s="95">
        <f t="shared" si="0"/>
        <v>73.02</v>
      </c>
      <c r="M41" s="30">
        <f t="shared" si="1"/>
        <v>48.019999999999996</v>
      </c>
      <c r="N41" s="33">
        <f>O41</f>
        <v>68.599999999999994</v>
      </c>
      <c r="O41" s="33">
        <f t="shared" si="16"/>
        <v>68.599999999999994</v>
      </c>
      <c r="P41" s="57"/>
      <c r="Q41" s="45">
        <v>1</v>
      </c>
      <c r="R41" s="7">
        <v>1</v>
      </c>
      <c r="S41" s="7">
        <v>1</v>
      </c>
      <c r="T41" s="7">
        <v>1</v>
      </c>
      <c r="U41" s="7">
        <v>1</v>
      </c>
      <c r="V41" s="48">
        <f t="shared" si="17"/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48">
        <f t="shared" si="18"/>
        <v>1</v>
      </c>
      <c r="AC41" s="45">
        <v>1</v>
      </c>
      <c r="AD41" s="7">
        <v>1</v>
      </c>
      <c r="AE41" s="7">
        <v>1</v>
      </c>
      <c r="AF41" s="7">
        <v>1</v>
      </c>
      <c r="AG41" s="7">
        <v>1</v>
      </c>
      <c r="AH41" s="48">
        <f t="shared" si="19"/>
        <v>1</v>
      </c>
      <c r="AI41" s="7">
        <v>1</v>
      </c>
      <c r="AJ41" s="7">
        <v>0.8</v>
      </c>
      <c r="AK41" s="7">
        <v>0.8</v>
      </c>
      <c r="AL41" s="7">
        <v>0.8</v>
      </c>
      <c r="AM41" s="7">
        <v>0.8</v>
      </c>
      <c r="AN41" s="48">
        <f t="shared" si="20"/>
        <v>0.84000000000000008</v>
      </c>
      <c r="AO41" s="35">
        <v>1</v>
      </c>
      <c r="AP41" s="7">
        <v>1</v>
      </c>
      <c r="AQ41" s="7">
        <v>1</v>
      </c>
      <c r="AR41" s="7">
        <v>1</v>
      </c>
      <c r="AS41" s="7">
        <v>1</v>
      </c>
      <c r="AT41" s="48">
        <f t="shared" si="21"/>
        <v>1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48">
        <f t="shared" si="22"/>
        <v>0</v>
      </c>
      <c r="BA41" s="7">
        <v>0.5</v>
      </c>
      <c r="BB41" s="7">
        <v>0</v>
      </c>
      <c r="BC41" s="7">
        <v>0</v>
      </c>
      <c r="BD41" s="7">
        <v>0</v>
      </c>
      <c r="BE41" s="7">
        <v>0</v>
      </c>
      <c r="BF41" s="48">
        <f t="shared" si="23"/>
        <v>0.1</v>
      </c>
      <c r="BG41" s="7">
        <v>0.5</v>
      </c>
      <c r="BH41" s="7">
        <v>0.5</v>
      </c>
      <c r="BI41" s="7">
        <v>0</v>
      </c>
      <c r="BJ41" s="7">
        <v>0</v>
      </c>
      <c r="BK41" s="7">
        <v>0</v>
      </c>
      <c r="BL41" s="48">
        <f t="shared" si="24"/>
        <v>0.2</v>
      </c>
      <c r="BM41" s="55"/>
      <c r="BN41" s="7"/>
      <c r="BO41" s="7"/>
      <c r="BP41" s="7"/>
      <c r="BQ41" s="7"/>
      <c r="BR41" s="7"/>
      <c r="BS41" s="48">
        <f t="shared" si="25"/>
        <v>0</v>
      </c>
      <c r="BT41" s="7"/>
      <c r="BU41" s="7"/>
      <c r="BV41" s="7"/>
      <c r="BW41" s="7"/>
      <c r="BX41" s="7"/>
      <c r="BY41" s="48">
        <f t="shared" si="26"/>
        <v>0</v>
      </c>
      <c r="BZ41" s="7"/>
      <c r="CA41" s="7"/>
      <c r="CB41" s="7"/>
      <c r="CC41" s="7"/>
      <c r="CD41" s="7"/>
      <c r="CE41" s="48">
        <f t="shared" si="27"/>
        <v>0</v>
      </c>
      <c r="CF41" s="7"/>
      <c r="CG41" s="7"/>
      <c r="CH41" s="7"/>
      <c r="CI41" s="7"/>
      <c r="CJ41" s="7"/>
      <c r="CK41" s="48">
        <f t="shared" si="28"/>
        <v>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1:DN26"/>
  <sheetViews>
    <sheetView topLeftCell="C1" zoomScale="133" workbookViewId="0">
      <pane xSplit="13" ySplit="14" topLeftCell="P15" activePane="bottomRight" state="frozen"/>
      <selection activeCell="C1" sqref="C1"/>
      <selection pane="topRight" activeCell="O1" sqref="O1"/>
      <selection pane="bottomLeft" activeCell="C15" sqref="C15"/>
      <selection pane="bottomRight" activeCell="I13" sqref="I13"/>
    </sheetView>
  </sheetViews>
  <sheetFormatPr baseColWidth="10" defaultColWidth="8.83203125" defaultRowHeight="15" x14ac:dyDescent="0.2"/>
  <cols>
    <col min="1" max="1" width="9.83203125" style="4" hidden="1" customWidth="1"/>
    <col min="2" max="2" width="4.5" style="4" hidden="1" customWidth="1"/>
    <col min="3" max="3" width="35.6640625" style="15" bestFit="1" customWidth="1"/>
    <col min="4" max="4" width="11.5" style="4" customWidth="1"/>
    <col min="5" max="8" width="8.83203125" style="4" hidden="1" customWidth="1"/>
    <col min="9" max="11" width="8.83203125" style="4" customWidth="1"/>
    <col min="12" max="12" width="10" style="4" bestFit="1" customWidth="1"/>
    <col min="13" max="13" width="8" style="4" bestFit="1" customWidth="1"/>
    <col min="14" max="14" width="8.33203125" style="4" bestFit="1" customWidth="1"/>
    <col min="15" max="15" width="10.1640625" style="4" bestFit="1" customWidth="1"/>
    <col min="16" max="16" width="12.5" style="4" customWidth="1"/>
    <col min="17" max="17" width="10.83203125" style="4" bestFit="1" customWidth="1"/>
    <col min="18" max="18" width="8.83203125" style="4"/>
    <col min="19" max="19" width="6.6640625" style="4" bestFit="1" customWidth="1"/>
    <col min="20" max="20" width="8.6640625" style="4" bestFit="1" customWidth="1"/>
    <col min="21" max="21" width="7.33203125" style="4" bestFit="1" customWidth="1"/>
    <col min="22" max="22" width="12.83203125" style="4" bestFit="1" customWidth="1"/>
    <col min="23" max="23" width="10.83203125" style="4" bestFit="1" customWidth="1"/>
    <col min="24" max="24" width="8.83203125" style="4" bestFit="1" customWidth="1"/>
    <col min="25" max="25" width="6.6640625" style="4" bestFit="1" customWidth="1"/>
    <col min="26" max="26" width="8.6640625" style="4" bestFit="1" customWidth="1"/>
    <col min="27" max="27" width="7.33203125" style="4" bestFit="1" customWidth="1"/>
    <col min="28" max="28" width="12.83203125" style="4" bestFit="1" customWidth="1"/>
    <col min="29" max="29" width="10.83203125" style="4" bestFit="1" customWidth="1"/>
    <col min="30" max="30" width="8.83203125" style="4" bestFit="1" customWidth="1"/>
    <col min="31" max="31" width="6.6640625" style="4" bestFit="1" customWidth="1"/>
    <col min="32" max="32" width="8.6640625" style="4" bestFit="1" customWidth="1"/>
    <col min="33" max="33" width="7.33203125" style="4" bestFit="1" customWidth="1"/>
    <col min="34" max="34" width="12.83203125" style="4" bestFit="1" customWidth="1"/>
    <col min="35" max="35" width="10.83203125" style="4" bestFit="1" customWidth="1"/>
    <col min="36" max="36" width="8.83203125" style="4" bestFit="1" customWidth="1"/>
    <col min="37" max="37" width="6.6640625" style="4" bestFit="1" customWidth="1"/>
    <col min="38" max="38" width="8.6640625" style="4" bestFit="1" customWidth="1"/>
    <col min="39" max="39" width="7.33203125" style="4" bestFit="1" customWidth="1"/>
    <col min="40" max="40" width="12.83203125" style="4" bestFit="1" customWidth="1"/>
    <col min="41" max="41" width="10.83203125" style="4" bestFit="1" customWidth="1"/>
    <col min="42" max="42" width="8.83203125" style="4" bestFit="1" customWidth="1"/>
    <col min="43" max="43" width="6.6640625" style="4" bestFit="1" customWidth="1"/>
    <col min="44" max="44" width="8.6640625" style="4" bestFit="1" customWidth="1"/>
    <col min="45" max="45" width="7.33203125" style="4" bestFit="1" customWidth="1"/>
    <col min="46" max="46" width="12.83203125" style="4" bestFit="1" customWidth="1"/>
    <col min="47" max="47" width="10.83203125" style="4" bestFit="1" customWidth="1"/>
    <col min="48" max="48" width="8.83203125" style="4" bestFit="1" customWidth="1"/>
    <col min="49" max="49" width="6.6640625" style="4" bestFit="1" customWidth="1"/>
    <col min="50" max="50" width="8.6640625" style="4" bestFit="1" customWidth="1"/>
    <col min="51" max="51" width="7.33203125" style="4" bestFit="1" customWidth="1"/>
    <col min="52" max="52" width="12.83203125" style="4" bestFit="1" customWidth="1"/>
    <col min="53" max="53" width="10.83203125" style="4" bestFit="1" customWidth="1"/>
    <col min="54" max="54" width="8.83203125" style="4" bestFit="1" customWidth="1"/>
    <col min="55" max="55" width="6.6640625" style="4" bestFit="1" customWidth="1"/>
    <col min="56" max="56" width="8.6640625" style="4" bestFit="1" customWidth="1"/>
    <col min="57" max="57" width="7.33203125" style="4" bestFit="1" customWidth="1"/>
    <col min="58" max="58" width="12.83203125" style="4" bestFit="1" customWidth="1"/>
    <col min="59" max="59" width="10.83203125" style="4" bestFit="1" customWidth="1"/>
    <col min="60" max="60" width="8.83203125" style="4" bestFit="1" customWidth="1"/>
    <col min="61" max="61" width="6.6640625" style="4" bestFit="1" customWidth="1"/>
    <col min="62" max="62" width="8.6640625" style="4" bestFit="1" customWidth="1"/>
    <col min="63" max="63" width="7.33203125" style="4" bestFit="1" customWidth="1"/>
    <col min="64" max="64" width="3.33203125" style="4" bestFit="1" customWidth="1"/>
    <col min="65" max="65" width="12.5" style="4" customWidth="1"/>
    <col min="66" max="66" width="10.83203125" style="4" bestFit="1" customWidth="1"/>
    <col min="67" max="67" width="9" style="4" bestFit="1" customWidth="1"/>
    <col min="68" max="70" width="8.83203125" style="4"/>
    <col min="71" max="71" width="12.5" style="4" customWidth="1"/>
    <col min="72" max="72" width="10.83203125" style="4" bestFit="1" customWidth="1"/>
    <col min="73" max="73" width="9" style="4" bestFit="1" customWidth="1"/>
    <col min="74" max="76" width="8.83203125" style="4"/>
    <col min="77" max="77" width="12.5" style="4" customWidth="1"/>
    <col min="78" max="78" width="10.83203125" style="4" bestFit="1" customWidth="1"/>
    <col min="79" max="79" width="9" style="4" bestFit="1" customWidth="1"/>
    <col min="80" max="82" width="8.83203125" style="4"/>
    <col min="83" max="83" width="12.5" style="4" customWidth="1"/>
    <col min="84" max="84" width="10.83203125" style="4" bestFit="1" customWidth="1"/>
    <col min="85" max="85" width="10.83203125" style="4" customWidth="1"/>
    <col min="86" max="16384" width="8.83203125" style="4"/>
  </cols>
  <sheetData>
    <row r="1" spans="1:118" ht="17" customHeight="1" thickBot="1" x14ac:dyDescent="0.25">
      <c r="P1" s="60" t="s">
        <v>751</v>
      </c>
      <c r="Q1" s="122"/>
      <c r="R1" s="122"/>
      <c r="S1" s="122"/>
      <c r="T1" s="122"/>
      <c r="U1" s="123"/>
      <c r="V1" s="124"/>
      <c r="W1" s="125"/>
      <c r="X1" s="125"/>
      <c r="Y1" s="125"/>
      <c r="Z1" s="125"/>
      <c r="AA1" s="126"/>
      <c r="AB1" s="124"/>
      <c r="AC1" s="125"/>
      <c r="AD1" s="125"/>
      <c r="AE1" s="125"/>
      <c r="AF1" s="125"/>
      <c r="AG1" s="126"/>
      <c r="AH1" s="124"/>
      <c r="AI1" s="125"/>
      <c r="AJ1" s="125"/>
      <c r="AK1" s="125"/>
      <c r="AL1" s="125"/>
      <c r="AM1" s="126"/>
      <c r="AN1" s="124"/>
      <c r="AO1" s="125"/>
      <c r="AP1" s="125"/>
      <c r="AQ1" s="125"/>
      <c r="AR1" s="125"/>
      <c r="AS1" s="126"/>
      <c r="AT1" s="124"/>
      <c r="AU1" s="125"/>
      <c r="AV1" s="125"/>
      <c r="AW1" s="125"/>
      <c r="AX1" s="125"/>
      <c r="AY1" s="126"/>
      <c r="AZ1" s="124"/>
      <c r="BA1" s="125"/>
      <c r="BB1" s="125"/>
      <c r="BC1" s="125"/>
      <c r="BD1" s="125"/>
      <c r="BE1" s="126"/>
      <c r="BF1" s="124"/>
      <c r="BG1" s="125"/>
      <c r="BH1" s="125"/>
      <c r="BI1" s="125"/>
      <c r="BJ1" s="125"/>
      <c r="BK1" s="126"/>
      <c r="BL1" s="49" t="s">
        <v>769</v>
      </c>
      <c r="BP1" s="25"/>
      <c r="BQ1" s="25"/>
      <c r="BR1" s="9"/>
      <c r="BV1" s="25"/>
      <c r="BW1" s="25"/>
      <c r="BX1" s="9"/>
      <c r="CB1" s="25"/>
      <c r="CC1" s="25"/>
      <c r="CD1" s="9"/>
      <c r="CH1" s="25"/>
      <c r="CI1" s="25"/>
      <c r="CJ1" s="9"/>
    </row>
    <row r="2" spans="1:118" ht="16" customHeight="1" x14ac:dyDescent="0.2">
      <c r="A2" s="23" t="s">
        <v>749</v>
      </c>
      <c r="C2" s="15" t="s">
        <v>0</v>
      </c>
      <c r="L2" s="9"/>
      <c r="M2" s="52"/>
      <c r="N2" s="31" t="s">
        <v>758</v>
      </c>
      <c r="O2" s="36"/>
      <c r="P2" s="109" t="s">
        <v>759</v>
      </c>
      <c r="Q2" s="110"/>
      <c r="R2" s="110"/>
      <c r="S2" s="110"/>
      <c r="T2" s="110"/>
      <c r="U2" s="111"/>
      <c r="V2" s="112" t="s">
        <v>760</v>
      </c>
      <c r="W2" s="110"/>
      <c r="X2" s="110"/>
      <c r="Y2" s="110"/>
      <c r="Z2" s="110"/>
      <c r="AA2" s="113"/>
      <c r="AB2" s="109" t="s">
        <v>761</v>
      </c>
      <c r="AC2" s="110"/>
      <c r="AD2" s="110"/>
      <c r="AE2" s="110"/>
      <c r="AF2" s="110"/>
      <c r="AG2" s="111"/>
      <c r="AH2" s="112" t="s">
        <v>762</v>
      </c>
      <c r="AI2" s="110"/>
      <c r="AJ2" s="110"/>
      <c r="AK2" s="110"/>
      <c r="AL2" s="110"/>
      <c r="AM2" s="113"/>
      <c r="AN2" s="109" t="s">
        <v>765</v>
      </c>
      <c r="AO2" s="110"/>
      <c r="AP2" s="110"/>
      <c r="AQ2" s="110"/>
      <c r="AR2" s="110"/>
      <c r="AS2" s="111"/>
      <c r="AT2" s="112" t="s">
        <v>766</v>
      </c>
      <c r="AU2" s="110"/>
      <c r="AV2" s="110"/>
      <c r="AW2" s="110"/>
      <c r="AX2" s="110"/>
      <c r="AY2" s="111"/>
      <c r="AZ2" s="112" t="s">
        <v>767</v>
      </c>
      <c r="BA2" s="110"/>
      <c r="BB2" s="110"/>
      <c r="BC2" s="110"/>
      <c r="BD2" s="110"/>
      <c r="BE2" s="111"/>
      <c r="BF2" s="112" t="s">
        <v>768</v>
      </c>
      <c r="BG2" s="110"/>
      <c r="BH2" s="110"/>
      <c r="BI2" s="110"/>
      <c r="BJ2" s="110"/>
      <c r="BK2" s="110"/>
      <c r="BL2" s="49"/>
      <c r="BM2" s="26" t="s">
        <v>756</v>
      </c>
      <c r="BN2" s="27"/>
      <c r="BO2" s="27"/>
      <c r="BP2" s="27"/>
      <c r="BQ2" s="27"/>
      <c r="BR2" s="27"/>
      <c r="BS2" s="26" t="s">
        <v>756</v>
      </c>
      <c r="BT2" s="27"/>
      <c r="BU2" s="27"/>
      <c r="BV2" s="27"/>
      <c r="BW2" s="27"/>
      <c r="BX2" s="27"/>
      <c r="BY2" s="26" t="s">
        <v>756</v>
      </c>
      <c r="BZ2" s="27"/>
      <c r="CA2" s="27"/>
      <c r="CB2" s="27"/>
      <c r="CC2" s="27"/>
      <c r="CD2" s="27"/>
      <c r="CE2" s="26" t="s">
        <v>756</v>
      </c>
      <c r="CF2" s="27"/>
      <c r="CG2" s="27"/>
      <c r="CH2" s="27"/>
      <c r="CI2" s="27"/>
      <c r="CJ2" s="27"/>
    </row>
    <row r="3" spans="1:118" ht="15" customHeight="1" x14ac:dyDescent="0.2">
      <c r="A3" s="9" t="s">
        <v>750</v>
      </c>
      <c r="B3" s="9" t="s">
        <v>2</v>
      </c>
      <c r="C3" s="12" t="s">
        <v>3</v>
      </c>
      <c r="D3" s="9" t="s">
        <v>4</v>
      </c>
      <c r="E3" s="9">
        <v>24</v>
      </c>
      <c r="F3" s="9">
        <v>25</v>
      </c>
      <c r="G3" s="9">
        <v>26</v>
      </c>
      <c r="H3" s="9">
        <v>27</v>
      </c>
      <c r="I3" s="9" t="s">
        <v>777</v>
      </c>
      <c r="J3" s="9" t="s">
        <v>778</v>
      </c>
      <c r="K3" s="9" t="s">
        <v>757</v>
      </c>
      <c r="L3" s="9" t="s">
        <v>757</v>
      </c>
      <c r="M3" s="24" t="s">
        <v>770</v>
      </c>
      <c r="N3" s="32"/>
      <c r="O3" s="56" t="s">
        <v>772</v>
      </c>
      <c r="P3" s="42" t="s">
        <v>752</v>
      </c>
      <c r="Q3" s="9" t="s">
        <v>753</v>
      </c>
      <c r="R3" s="9" t="s">
        <v>754</v>
      </c>
      <c r="S3" s="9" t="s">
        <v>763</v>
      </c>
      <c r="T3" s="18" t="s">
        <v>771</v>
      </c>
      <c r="U3" s="9" t="s">
        <v>755</v>
      </c>
      <c r="V3" s="18" t="s">
        <v>752</v>
      </c>
      <c r="W3" s="9" t="s">
        <v>753</v>
      </c>
      <c r="X3" s="9" t="s">
        <v>754</v>
      </c>
      <c r="Y3" s="9" t="s">
        <v>763</v>
      </c>
      <c r="Z3" s="18" t="s">
        <v>771</v>
      </c>
      <c r="AA3" s="43" t="s">
        <v>755</v>
      </c>
      <c r="AB3" s="42" t="s">
        <v>752</v>
      </c>
      <c r="AC3" s="9" t="s">
        <v>753</v>
      </c>
      <c r="AD3" s="9" t="s">
        <v>754</v>
      </c>
      <c r="AE3" s="9" t="s">
        <v>763</v>
      </c>
      <c r="AF3" s="18" t="s">
        <v>771</v>
      </c>
      <c r="AG3" s="9" t="s">
        <v>755</v>
      </c>
      <c r="AH3" s="18" t="s">
        <v>752</v>
      </c>
      <c r="AI3" s="9" t="s">
        <v>753</v>
      </c>
      <c r="AJ3" s="9" t="s">
        <v>754</v>
      </c>
      <c r="AK3" s="9" t="s">
        <v>763</v>
      </c>
      <c r="AL3" s="18" t="s">
        <v>771</v>
      </c>
      <c r="AM3" s="43" t="s">
        <v>755</v>
      </c>
      <c r="AN3" s="28" t="s">
        <v>752</v>
      </c>
      <c r="AO3" s="9" t="s">
        <v>753</v>
      </c>
      <c r="AP3" s="9" t="s">
        <v>754</v>
      </c>
      <c r="AQ3" s="9" t="s">
        <v>763</v>
      </c>
      <c r="AR3" s="18" t="s">
        <v>771</v>
      </c>
      <c r="AS3" s="9" t="s">
        <v>755</v>
      </c>
      <c r="AT3" s="18" t="s">
        <v>752</v>
      </c>
      <c r="AU3" s="9" t="s">
        <v>753</v>
      </c>
      <c r="AV3" s="9" t="s">
        <v>754</v>
      </c>
      <c r="AW3" s="9" t="s">
        <v>763</v>
      </c>
      <c r="AX3" s="18" t="s">
        <v>771</v>
      </c>
      <c r="AY3" s="9" t="s">
        <v>755</v>
      </c>
      <c r="AZ3" s="18" t="s">
        <v>752</v>
      </c>
      <c r="BA3" s="9" t="s">
        <v>753</v>
      </c>
      <c r="BB3" s="9" t="s">
        <v>754</v>
      </c>
      <c r="BC3" s="9" t="s">
        <v>763</v>
      </c>
      <c r="BD3" s="18" t="s">
        <v>771</v>
      </c>
      <c r="BE3" s="9" t="s">
        <v>755</v>
      </c>
      <c r="BF3" s="18" t="s">
        <v>752</v>
      </c>
      <c r="BG3" s="9" t="s">
        <v>753</v>
      </c>
      <c r="BH3" s="9" t="s">
        <v>754</v>
      </c>
      <c r="BI3" s="9" t="s">
        <v>763</v>
      </c>
      <c r="BJ3" s="18" t="s">
        <v>771</v>
      </c>
      <c r="BK3" s="9" t="s">
        <v>755</v>
      </c>
      <c r="BL3" s="50"/>
      <c r="BM3" s="18" t="s">
        <v>752</v>
      </c>
      <c r="BN3" s="9" t="s">
        <v>753</v>
      </c>
      <c r="BO3" s="9" t="s">
        <v>754</v>
      </c>
      <c r="BP3" s="9" t="s">
        <v>763</v>
      </c>
      <c r="BQ3" s="9" t="s">
        <v>764</v>
      </c>
      <c r="BR3" s="9" t="s">
        <v>755</v>
      </c>
      <c r="BS3" s="18" t="s">
        <v>752</v>
      </c>
      <c r="BT3" s="9" t="s">
        <v>753</v>
      </c>
      <c r="BU3" s="9" t="s">
        <v>754</v>
      </c>
      <c r="BV3" s="9" t="s">
        <v>763</v>
      </c>
      <c r="BW3" s="9" t="s">
        <v>764</v>
      </c>
      <c r="BX3" s="9" t="s">
        <v>755</v>
      </c>
      <c r="BY3" s="18" t="s">
        <v>752</v>
      </c>
      <c r="BZ3" s="9" t="s">
        <v>753</v>
      </c>
      <c r="CA3" s="9" t="s">
        <v>754</v>
      </c>
      <c r="CB3" s="9" t="s">
        <v>763</v>
      </c>
      <c r="CC3" s="9" t="s">
        <v>764</v>
      </c>
      <c r="CD3" s="9" t="s">
        <v>755</v>
      </c>
      <c r="CE3" s="18" t="s">
        <v>752</v>
      </c>
      <c r="CF3" s="9" t="s">
        <v>753</v>
      </c>
      <c r="CG3" s="9" t="s">
        <v>754</v>
      </c>
      <c r="CH3" s="9" t="s">
        <v>763</v>
      </c>
      <c r="CI3" s="9" t="s">
        <v>764</v>
      </c>
      <c r="CJ3" s="9" t="s">
        <v>755</v>
      </c>
      <c r="CK3" s="9">
        <v>1</v>
      </c>
      <c r="CL3" s="9">
        <v>2</v>
      </c>
      <c r="CM3" s="9">
        <v>3</v>
      </c>
      <c r="CN3" s="9">
        <v>4</v>
      </c>
      <c r="CO3" s="9">
        <v>7</v>
      </c>
      <c r="CP3" s="9">
        <v>8</v>
      </c>
      <c r="CQ3" s="9">
        <v>9</v>
      </c>
      <c r="CR3" s="9">
        <v>10</v>
      </c>
      <c r="CS3" s="9">
        <v>11</v>
      </c>
      <c r="CT3" s="9">
        <v>14</v>
      </c>
      <c r="CU3" s="9">
        <v>15</v>
      </c>
      <c r="CV3" s="9">
        <v>16</v>
      </c>
      <c r="CW3" s="9">
        <v>17</v>
      </c>
      <c r="CX3" s="9">
        <v>18</v>
      </c>
      <c r="CY3" s="9">
        <v>21</v>
      </c>
      <c r="CZ3" s="9">
        <v>22</v>
      </c>
      <c r="DA3" s="9">
        <v>23</v>
      </c>
      <c r="DB3" s="9">
        <v>24</v>
      </c>
      <c r="DC3" s="9">
        <v>25</v>
      </c>
      <c r="DD3" s="9">
        <v>28</v>
      </c>
      <c r="DE3" s="9">
        <v>29</v>
      </c>
      <c r="DF3" s="9">
        <v>30</v>
      </c>
    </row>
    <row r="4" spans="1:118" s="70" customFormat="1" ht="16" x14ac:dyDescent="0.2">
      <c r="A4" s="61" t="s">
        <v>675</v>
      </c>
      <c r="B4" s="61">
        <v>1</v>
      </c>
      <c r="C4" s="62" t="s">
        <v>674</v>
      </c>
      <c r="D4" s="61" t="s">
        <v>161</v>
      </c>
      <c r="E4" s="116"/>
      <c r="F4" s="117"/>
      <c r="G4" s="61"/>
      <c r="H4" s="61"/>
      <c r="I4" s="61"/>
      <c r="J4" s="61"/>
      <c r="K4" s="61"/>
      <c r="L4" s="63" t="e">
        <f>M4*0.7</f>
        <v>#DIV/0!</v>
      </c>
      <c r="M4" s="64" t="e">
        <f>IF(N4&gt;=100,100,N4)</f>
        <v>#DIV/0!</v>
      </c>
      <c r="N4" s="64" t="e">
        <f>U4*10+AA4*10+AG4*15+AM4*15+AS4*15+AY4*15+BE4*20+BK4*20+O4</f>
        <v>#DIV/0!</v>
      </c>
      <c r="O4" s="65"/>
      <c r="P4" s="66"/>
      <c r="Q4" s="61"/>
      <c r="R4" s="61"/>
      <c r="S4" s="61"/>
      <c r="T4" s="61"/>
      <c r="U4" s="67" t="e">
        <f>AVERAGE(P4:T4)</f>
        <v>#DIV/0!</v>
      </c>
      <c r="V4" s="61"/>
      <c r="W4" s="61"/>
      <c r="X4" s="61"/>
      <c r="Y4" s="61"/>
      <c r="Z4" s="61"/>
      <c r="AA4" s="67" t="e">
        <f>AVERAGE(V4:Z4)</f>
        <v>#DIV/0!</v>
      </c>
      <c r="AB4" s="66"/>
      <c r="AC4" s="61"/>
      <c r="AD4" s="61"/>
      <c r="AE4" s="61"/>
      <c r="AF4" s="61"/>
      <c r="AG4" s="67" t="e">
        <f>AVERAGE(AB4:AF4)</f>
        <v>#DIV/0!</v>
      </c>
      <c r="AH4" s="61"/>
      <c r="AI4" s="61"/>
      <c r="AJ4" s="61"/>
      <c r="AK4" s="61"/>
      <c r="AL4" s="61"/>
      <c r="AM4" s="67" t="e">
        <f>AVERAGE(AH4:AL4)</f>
        <v>#DIV/0!</v>
      </c>
      <c r="AN4" s="68"/>
      <c r="AO4" s="61"/>
      <c r="AP4" s="61"/>
      <c r="AQ4" s="61"/>
      <c r="AR4" s="61"/>
      <c r="AS4" s="67" t="e">
        <f>AVERAGE(AN4:AR4)</f>
        <v>#DIV/0!</v>
      </c>
      <c r="AT4" s="61"/>
      <c r="AU4" s="61"/>
      <c r="AV4" s="61"/>
      <c r="AW4" s="61"/>
      <c r="AX4" s="61"/>
      <c r="AY4" s="67" t="e">
        <f>AVERAGE(AT4:AX4)</f>
        <v>#DIV/0!</v>
      </c>
      <c r="AZ4" s="61"/>
      <c r="BA4" s="61"/>
      <c r="BB4" s="61"/>
      <c r="BC4" s="61"/>
      <c r="BD4" s="61"/>
      <c r="BE4" s="67" t="e">
        <f>AVERAGE(AZ4:BD4)</f>
        <v>#DIV/0!</v>
      </c>
      <c r="BF4" s="61"/>
      <c r="BG4" s="61"/>
      <c r="BH4" s="61"/>
      <c r="BI4" s="61"/>
      <c r="BJ4" s="61"/>
      <c r="BK4" s="67" t="e">
        <f>AVERAGE(BF4:BJ4)</f>
        <v>#DIV/0!</v>
      </c>
      <c r="BL4" s="71"/>
      <c r="BM4" s="61"/>
      <c r="BN4" s="61"/>
      <c r="BO4" s="61"/>
      <c r="BP4" s="61"/>
      <c r="BQ4" s="61"/>
      <c r="BR4" s="67">
        <f>SUM(BM4:BQ4)/5</f>
        <v>0</v>
      </c>
      <c r="BS4" s="61"/>
      <c r="BT4" s="61"/>
      <c r="BU4" s="61"/>
      <c r="BV4" s="61"/>
      <c r="BW4" s="61"/>
      <c r="BX4" s="67">
        <f>SUM(BS4:BW4)/5</f>
        <v>0</v>
      </c>
      <c r="BY4" s="61"/>
      <c r="BZ4" s="61"/>
      <c r="CA4" s="61"/>
      <c r="CB4" s="61"/>
      <c r="CC4" s="61"/>
      <c r="CD4" s="67">
        <f>SUM(BY4:CC4)/5</f>
        <v>0</v>
      </c>
      <c r="CE4" s="61"/>
      <c r="CF4" s="61"/>
      <c r="CG4" s="61"/>
      <c r="CH4" s="61"/>
      <c r="CI4" s="61"/>
      <c r="CJ4" s="67">
        <f>SUM(CE4:CI4)/5</f>
        <v>0</v>
      </c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</row>
    <row r="5" spans="1:118" ht="16" x14ac:dyDescent="0.2">
      <c r="A5" s="7" t="s">
        <v>673</v>
      </c>
      <c r="B5" s="7">
        <v>1</v>
      </c>
      <c r="C5" s="14" t="s">
        <v>672</v>
      </c>
      <c r="D5" s="7" t="s">
        <v>161</v>
      </c>
      <c r="E5" s="118"/>
      <c r="F5" s="119"/>
      <c r="G5" s="7">
        <v>1</v>
      </c>
      <c r="H5" s="7">
        <v>1</v>
      </c>
      <c r="I5" s="16">
        <f>_xlfn.XLOOKUP(C5,'[1]3V_CD'!$C:$C,'[1]3V_CD'!$I:$I,"NO ENCONTRADO")</f>
        <v>1</v>
      </c>
      <c r="J5" s="7">
        <v>1</v>
      </c>
      <c r="K5" s="96">
        <f>L5+I5*10+J5*20</f>
        <v>92.3</v>
      </c>
      <c r="L5" s="30">
        <f t="shared" ref="L5:L26" si="0">M5*0.7</f>
        <v>62.3</v>
      </c>
      <c r="M5" s="33">
        <f t="shared" ref="M5:M26" si="1">IF(N5&gt;=100,100,N5)</f>
        <v>89</v>
      </c>
      <c r="N5" s="33">
        <f t="shared" ref="N5:N26" si="2">U5*10+AA5*10+AG5*15+AM5*15+AS5*15+AY5*15+BE5*20+BK5*20+O5</f>
        <v>89</v>
      </c>
      <c r="O5" s="57">
        <f>0.6*15</f>
        <v>9</v>
      </c>
      <c r="P5" s="45">
        <v>1</v>
      </c>
      <c r="Q5" s="7">
        <v>1</v>
      </c>
      <c r="R5" s="7">
        <v>1</v>
      </c>
      <c r="S5" s="7">
        <v>1</v>
      </c>
      <c r="T5" s="7">
        <v>1</v>
      </c>
      <c r="U5" s="48">
        <f t="shared" ref="U5:U26" si="3">AVERAGE(P5:T5)</f>
        <v>1</v>
      </c>
      <c r="V5" s="7">
        <v>1</v>
      </c>
      <c r="W5" s="7">
        <v>1</v>
      </c>
      <c r="X5" s="7">
        <v>1</v>
      </c>
      <c r="Y5" s="7">
        <v>1</v>
      </c>
      <c r="Z5" s="7">
        <v>1</v>
      </c>
      <c r="AA5" s="48">
        <f t="shared" ref="AA5:AA26" si="4">AVERAGE(V5:Z5)</f>
        <v>1</v>
      </c>
      <c r="AB5" s="45">
        <v>1</v>
      </c>
      <c r="AC5" s="7">
        <v>1</v>
      </c>
      <c r="AD5" s="7">
        <v>1</v>
      </c>
      <c r="AE5" s="7">
        <v>0.5</v>
      </c>
      <c r="AF5" s="7">
        <v>0.5</v>
      </c>
      <c r="AG5" s="48">
        <f t="shared" ref="AG5:AG26" si="5">AVERAGE(AB5:AF5)</f>
        <v>0.8</v>
      </c>
      <c r="AH5" s="7">
        <v>1</v>
      </c>
      <c r="AI5" s="7">
        <v>1</v>
      </c>
      <c r="AJ5" s="7">
        <v>1</v>
      </c>
      <c r="AK5" s="7">
        <v>0.5</v>
      </c>
      <c r="AL5" s="7">
        <v>0.5</v>
      </c>
      <c r="AM5" s="48">
        <f t="shared" ref="AM5:AM26" si="6">AVERAGE(AH5:AL5)</f>
        <v>0.8</v>
      </c>
      <c r="AN5" s="35">
        <v>1</v>
      </c>
      <c r="AO5" s="7">
        <v>1</v>
      </c>
      <c r="AP5" s="7">
        <v>1</v>
      </c>
      <c r="AQ5" s="7">
        <v>0.5</v>
      </c>
      <c r="AR5" s="7">
        <v>0.5</v>
      </c>
      <c r="AS5" s="48">
        <f t="shared" ref="AS5:AS26" si="7">AVERAGE(AN5:AR5)</f>
        <v>0.8</v>
      </c>
      <c r="AT5" s="7">
        <v>1</v>
      </c>
      <c r="AU5" s="7">
        <v>1</v>
      </c>
      <c r="AV5" s="7">
        <v>1</v>
      </c>
      <c r="AW5" s="7">
        <v>0.5</v>
      </c>
      <c r="AX5" s="7">
        <v>0.5</v>
      </c>
      <c r="AY5" s="48">
        <f t="shared" ref="AY5:AY26" si="8">AVERAGE(AT5:AX5)</f>
        <v>0.8</v>
      </c>
      <c r="AZ5" s="7">
        <v>1</v>
      </c>
      <c r="BA5" s="7">
        <v>1</v>
      </c>
      <c r="BB5" s="7">
        <v>1</v>
      </c>
      <c r="BC5" s="7">
        <v>0</v>
      </c>
      <c r="BD5" s="7">
        <v>0</v>
      </c>
      <c r="BE5" s="48">
        <f t="shared" ref="BE5:BE26" si="9">AVERAGE(AZ5:BD5)</f>
        <v>0.6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48">
        <f t="shared" ref="BK5:BK26" si="10">AVERAGE(BF5:BJ5)</f>
        <v>0</v>
      </c>
      <c r="BL5" s="55"/>
      <c r="BM5" s="7">
        <v>1</v>
      </c>
      <c r="BN5" s="7">
        <v>1</v>
      </c>
      <c r="BO5" s="7">
        <v>1</v>
      </c>
      <c r="BP5" s="7">
        <v>0</v>
      </c>
      <c r="BQ5" s="7">
        <v>0</v>
      </c>
      <c r="BR5" s="48">
        <f t="shared" ref="BR5:BR26" si="11">SUM(BM5:BQ5)/5</f>
        <v>0.6</v>
      </c>
      <c r="BS5" s="7"/>
      <c r="BT5" s="7"/>
      <c r="BU5" s="7"/>
      <c r="BV5" s="7"/>
      <c r="BW5" s="7"/>
      <c r="BX5" s="48">
        <f t="shared" ref="BX5:BX26" si="12">SUM(BS5:BW5)/5</f>
        <v>0</v>
      </c>
      <c r="BY5" s="7"/>
      <c r="BZ5" s="7"/>
      <c r="CA5" s="7"/>
      <c r="CB5" s="7"/>
      <c r="CC5" s="7"/>
      <c r="CD5" s="48">
        <f t="shared" ref="CD5:CD26" si="13">SUM(BY5:CC5)/5</f>
        <v>0</v>
      </c>
      <c r="CE5" s="7"/>
      <c r="CF5" s="7"/>
      <c r="CG5" s="7"/>
      <c r="CH5" s="7"/>
      <c r="CI5" s="7"/>
      <c r="CJ5" s="48">
        <f t="shared" ref="CJ5:CJ26" si="14">SUM(CE5:CI5)/5</f>
        <v>0</v>
      </c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</row>
    <row r="6" spans="1:118" ht="16" x14ac:dyDescent="0.2">
      <c r="A6" s="5" t="s">
        <v>671</v>
      </c>
      <c r="B6" s="5">
        <v>1</v>
      </c>
      <c r="C6" s="13" t="s">
        <v>670</v>
      </c>
      <c r="D6" s="5" t="s">
        <v>161</v>
      </c>
      <c r="E6" s="118"/>
      <c r="F6" s="119"/>
      <c r="G6" s="5">
        <v>1</v>
      </c>
      <c r="H6" s="5">
        <v>1</v>
      </c>
      <c r="I6" s="16">
        <f>_xlfn.XLOOKUP(C6,'[1]3V_CD'!$C:$C,'[1]3V_CD'!$I:$I,"NO ENCONTRADO")</f>
        <v>1</v>
      </c>
      <c r="J6" s="5">
        <v>1</v>
      </c>
      <c r="K6" s="96">
        <f t="shared" ref="K6:K26" si="15">L6+I6*10+J6*20</f>
        <v>100</v>
      </c>
      <c r="L6" s="30">
        <f t="shared" si="0"/>
        <v>70</v>
      </c>
      <c r="M6" s="33">
        <f t="shared" si="1"/>
        <v>100</v>
      </c>
      <c r="N6" s="33">
        <f t="shared" si="2"/>
        <v>120</v>
      </c>
      <c r="O6" s="57"/>
      <c r="P6" s="44">
        <v>1</v>
      </c>
      <c r="Q6" s="5">
        <v>1</v>
      </c>
      <c r="R6" s="5">
        <v>1</v>
      </c>
      <c r="S6" s="5">
        <v>1</v>
      </c>
      <c r="T6" s="5">
        <v>1</v>
      </c>
      <c r="U6" s="48">
        <f t="shared" si="3"/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48">
        <f t="shared" si="4"/>
        <v>1</v>
      </c>
      <c r="AB6" s="44">
        <v>1</v>
      </c>
      <c r="AC6" s="5">
        <v>1</v>
      </c>
      <c r="AD6" s="5">
        <v>1</v>
      </c>
      <c r="AE6" s="5">
        <v>1</v>
      </c>
      <c r="AF6" s="5">
        <v>1</v>
      </c>
      <c r="AG6" s="48">
        <f t="shared" si="5"/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48">
        <f t="shared" si="6"/>
        <v>1</v>
      </c>
      <c r="AN6" s="34">
        <v>1</v>
      </c>
      <c r="AO6" s="5">
        <v>1</v>
      </c>
      <c r="AP6" s="5">
        <v>1</v>
      </c>
      <c r="AQ6" s="5">
        <v>1</v>
      </c>
      <c r="AR6" s="5">
        <v>1</v>
      </c>
      <c r="AS6" s="48">
        <f t="shared" si="7"/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48">
        <f t="shared" si="8"/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48">
        <f t="shared" si="9"/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48">
        <f t="shared" si="10"/>
        <v>1</v>
      </c>
      <c r="BL6" s="55"/>
      <c r="BM6" s="5"/>
      <c r="BN6" s="5"/>
      <c r="BO6" s="5"/>
      <c r="BP6" s="5"/>
      <c r="BQ6" s="5"/>
      <c r="BR6" s="48">
        <f t="shared" si="11"/>
        <v>0</v>
      </c>
      <c r="BS6" s="5"/>
      <c r="BT6" s="5"/>
      <c r="BU6" s="5"/>
      <c r="BV6" s="5"/>
      <c r="BW6" s="5"/>
      <c r="BX6" s="48">
        <f t="shared" si="12"/>
        <v>0</v>
      </c>
      <c r="BY6" s="5"/>
      <c r="BZ6" s="5"/>
      <c r="CA6" s="5"/>
      <c r="CB6" s="5"/>
      <c r="CC6" s="5"/>
      <c r="CD6" s="48">
        <f t="shared" si="13"/>
        <v>0</v>
      </c>
      <c r="CE6" s="5"/>
      <c r="CF6" s="5"/>
      <c r="CG6" s="5"/>
      <c r="CH6" s="5"/>
      <c r="CI6" s="5"/>
      <c r="CJ6" s="48">
        <f t="shared" si="14"/>
        <v>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</row>
    <row r="7" spans="1:118" ht="16" x14ac:dyDescent="0.2">
      <c r="A7" s="7" t="s">
        <v>669</v>
      </c>
      <c r="B7" s="7">
        <v>1</v>
      </c>
      <c r="C7" s="14" t="s">
        <v>668</v>
      </c>
      <c r="D7" s="7" t="s">
        <v>161</v>
      </c>
      <c r="E7" s="118"/>
      <c r="F7" s="119"/>
      <c r="G7" s="7">
        <v>1</v>
      </c>
      <c r="H7" s="7">
        <v>1</v>
      </c>
      <c r="I7" s="16">
        <f>_xlfn.XLOOKUP(C7,'[1]3V_CD'!$C:$C,'[1]3V_CD'!$I:$I,"NO ENCONTRADO")</f>
        <v>1</v>
      </c>
      <c r="J7" s="7">
        <v>1</v>
      </c>
      <c r="K7" s="96">
        <f t="shared" si="15"/>
        <v>100</v>
      </c>
      <c r="L7" s="30">
        <f>M7*0.7</f>
        <v>70</v>
      </c>
      <c r="M7" s="33">
        <f t="shared" si="1"/>
        <v>100</v>
      </c>
      <c r="N7" s="33">
        <f t="shared" si="2"/>
        <v>120</v>
      </c>
      <c r="O7" s="57"/>
      <c r="P7" s="45">
        <v>1</v>
      </c>
      <c r="Q7" s="7">
        <v>1</v>
      </c>
      <c r="R7" s="7">
        <v>1</v>
      </c>
      <c r="S7" s="7">
        <v>1</v>
      </c>
      <c r="T7" s="7">
        <v>1</v>
      </c>
      <c r="U7" s="48">
        <f t="shared" si="3"/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48">
        <f t="shared" si="4"/>
        <v>1</v>
      </c>
      <c r="AB7" s="45">
        <v>1</v>
      </c>
      <c r="AC7" s="7">
        <v>1</v>
      </c>
      <c r="AD7" s="7">
        <v>1</v>
      </c>
      <c r="AE7" s="7">
        <v>1</v>
      </c>
      <c r="AF7" s="7">
        <v>1</v>
      </c>
      <c r="AG7" s="48">
        <f t="shared" si="5"/>
        <v>1</v>
      </c>
      <c r="AH7" s="45">
        <v>1</v>
      </c>
      <c r="AI7" s="7">
        <v>1</v>
      </c>
      <c r="AJ7" s="7">
        <v>1</v>
      </c>
      <c r="AK7" s="7">
        <v>1</v>
      </c>
      <c r="AL7" s="7">
        <v>1</v>
      </c>
      <c r="AM7" s="48">
        <f t="shared" si="6"/>
        <v>1</v>
      </c>
      <c r="AN7" s="35">
        <v>1</v>
      </c>
      <c r="AO7" s="7">
        <v>1</v>
      </c>
      <c r="AP7" s="7">
        <v>1</v>
      </c>
      <c r="AQ7" s="7">
        <v>1</v>
      </c>
      <c r="AR7" s="7">
        <v>1</v>
      </c>
      <c r="AS7" s="48">
        <f t="shared" si="7"/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48">
        <f t="shared" si="8"/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48">
        <f t="shared" si="9"/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48">
        <f t="shared" si="10"/>
        <v>1</v>
      </c>
      <c r="BL7" s="55"/>
      <c r="BM7" s="7"/>
      <c r="BN7" s="7"/>
      <c r="BO7" s="7"/>
      <c r="BP7" s="7"/>
      <c r="BQ7" s="7"/>
      <c r="BR7" s="48">
        <f t="shared" si="11"/>
        <v>0</v>
      </c>
      <c r="BS7" s="7"/>
      <c r="BT7" s="7"/>
      <c r="BU7" s="7"/>
      <c r="BV7" s="7"/>
      <c r="BW7" s="7"/>
      <c r="BX7" s="48">
        <f t="shared" si="12"/>
        <v>0</v>
      </c>
      <c r="BY7" s="7"/>
      <c r="BZ7" s="7"/>
      <c r="CA7" s="7"/>
      <c r="CB7" s="7"/>
      <c r="CC7" s="7"/>
      <c r="CD7" s="48">
        <f t="shared" si="13"/>
        <v>0</v>
      </c>
      <c r="CE7" s="7"/>
      <c r="CF7" s="7"/>
      <c r="CG7" s="7"/>
      <c r="CH7" s="7"/>
      <c r="CI7" s="7"/>
      <c r="CJ7" s="48">
        <f t="shared" si="14"/>
        <v>0</v>
      </c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</row>
    <row r="8" spans="1:118" ht="16" x14ac:dyDescent="0.2">
      <c r="A8" s="5" t="s">
        <v>667</v>
      </c>
      <c r="B8" s="5">
        <v>1</v>
      </c>
      <c r="C8" s="13" t="s">
        <v>666</v>
      </c>
      <c r="D8" s="5" t="s">
        <v>161</v>
      </c>
      <c r="E8" s="118"/>
      <c r="F8" s="119"/>
      <c r="G8" s="5">
        <v>1</v>
      </c>
      <c r="H8" s="5">
        <v>1</v>
      </c>
      <c r="I8" s="16">
        <f>_xlfn.XLOOKUP(C8,'[1]3V_CD'!$C:$C,'[1]3V_CD'!$I:$I,"NO ENCONTRADO")</f>
        <v>1</v>
      </c>
      <c r="J8" s="5">
        <v>1</v>
      </c>
      <c r="K8" s="96">
        <f t="shared" si="15"/>
        <v>97.899999999999991</v>
      </c>
      <c r="L8" s="30">
        <f t="shared" si="0"/>
        <v>67.899999999999991</v>
      </c>
      <c r="M8" s="33">
        <f t="shared" si="1"/>
        <v>97</v>
      </c>
      <c r="N8" s="33">
        <f t="shared" si="2"/>
        <v>97</v>
      </c>
      <c r="O8" s="57">
        <v>15</v>
      </c>
      <c r="P8" s="44">
        <v>1</v>
      </c>
      <c r="Q8" s="5">
        <v>1</v>
      </c>
      <c r="R8" s="5">
        <v>1</v>
      </c>
      <c r="S8" s="5">
        <v>1</v>
      </c>
      <c r="T8" s="5">
        <v>1</v>
      </c>
      <c r="U8" s="48">
        <f t="shared" si="3"/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48">
        <f t="shared" si="4"/>
        <v>1</v>
      </c>
      <c r="AB8" s="44">
        <v>1</v>
      </c>
      <c r="AC8" s="5">
        <v>1</v>
      </c>
      <c r="AD8" s="5">
        <v>1</v>
      </c>
      <c r="AE8" s="5">
        <v>1</v>
      </c>
      <c r="AF8" s="5">
        <v>1</v>
      </c>
      <c r="AG8" s="48">
        <f t="shared" si="5"/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48">
        <f t="shared" si="6"/>
        <v>1</v>
      </c>
      <c r="AN8" s="34">
        <v>1</v>
      </c>
      <c r="AO8" s="5">
        <v>1</v>
      </c>
      <c r="AP8" s="5">
        <v>1</v>
      </c>
      <c r="AQ8" s="5">
        <v>1</v>
      </c>
      <c r="AR8" s="5">
        <v>1</v>
      </c>
      <c r="AS8" s="48">
        <f t="shared" si="7"/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48">
        <f t="shared" si="8"/>
        <v>1</v>
      </c>
      <c r="AZ8" s="5">
        <v>0.5</v>
      </c>
      <c r="BA8" s="5">
        <v>0</v>
      </c>
      <c r="BB8" s="5">
        <v>0</v>
      </c>
      <c r="BC8" s="5">
        <v>0</v>
      </c>
      <c r="BD8" s="5">
        <v>0</v>
      </c>
      <c r="BE8" s="48">
        <f t="shared" si="9"/>
        <v>0.1</v>
      </c>
      <c r="BF8" s="5">
        <v>0.5</v>
      </c>
      <c r="BG8" s="5">
        <v>0</v>
      </c>
      <c r="BH8" s="5">
        <v>0</v>
      </c>
      <c r="BI8" s="5">
        <v>0</v>
      </c>
      <c r="BJ8" s="5">
        <v>0</v>
      </c>
      <c r="BK8" s="48">
        <v>0</v>
      </c>
      <c r="BL8" s="55"/>
      <c r="BM8" s="5"/>
      <c r="BN8" s="5"/>
      <c r="BO8" s="5"/>
      <c r="BP8" s="5"/>
      <c r="BQ8" s="5"/>
      <c r="BR8" s="48">
        <f t="shared" si="11"/>
        <v>0</v>
      </c>
      <c r="BS8" s="5"/>
      <c r="BT8" s="5"/>
      <c r="BU8" s="5"/>
      <c r="BV8" s="5"/>
      <c r="BW8" s="5"/>
      <c r="BX8" s="48">
        <f t="shared" si="12"/>
        <v>0</v>
      </c>
      <c r="BY8" s="5"/>
      <c r="BZ8" s="5"/>
      <c r="CA8" s="5"/>
      <c r="CB8" s="5"/>
      <c r="CC8" s="5"/>
      <c r="CD8" s="48">
        <f t="shared" si="13"/>
        <v>0</v>
      </c>
      <c r="CE8" s="5"/>
      <c r="CF8" s="5"/>
      <c r="CG8" s="5"/>
      <c r="CH8" s="5"/>
      <c r="CI8" s="5"/>
      <c r="CJ8" s="48">
        <f t="shared" si="14"/>
        <v>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</row>
    <row r="9" spans="1:118" ht="16" x14ac:dyDescent="0.2">
      <c r="A9" s="73" t="s">
        <v>665</v>
      </c>
      <c r="B9" s="73">
        <v>1</v>
      </c>
      <c r="C9" s="74" t="s">
        <v>664</v>
      </c>
      <c r="D9" s="73" t="s">
        <v>161</v>
      </c>
      <c r="E9" s="118"/>
      <c r="F9" s="119"/>
      <c r="G9" s="73">
        <v>1</v>
      </c>
      <c r="H9" s="73">
        <v>1</v>
      </c>
      <c r="I9" s="16">
        <f>_xlfn.XLOOKUP(C9,'[1]3V_CD'!$C:$C,'[1]3V_CD'!$I:$I,"NO ENCONTRADO")</f>
        <v>1</v>
      </c>
      <c r="J9" s="73">
        <v>1</v>
      </c>
      <c r="K9" s="96">
        <f t="shared" si="15"/>
        <v>84.6</v>
      </c>
      <c r="L9" s="75">
        <f t="shared" si="0"/>
        <v>54.599999999999994</v>
      </c>
      <c r="M9" s="76">
        <f t="shared" si="1"/>
        <v>78</v>
      </c>
      <c r="N9" s="76">
        <f t="shared" si="2"/>
        <v>78</v>
      </c>
      <c r="O9" s="77"/>
      <c r="P9" s="78">
        <v>1</v>
      </c>
      <c r="Q9" s="73">
        <v>1</v>
      </c>
      <c r="R9" s="73">
        <v>1</v>
      </c>
      <c r="S9" s="73">
        <v>1</v>
      </c>
      <c r="T9" s="73">
        <v>1</v>
      </c>
      <c r="U9" s="79">
        <f t="shared" si="3"/>
        <v>1</v>
      </c>
      <c r="V9" s="73">
        <v>1</v>
      </c>
      <c r="W9" s="73">
        <v>1</v>
      </c>
      <c r="X9" s="73">
        <v>1</v>
      </c>
      <c r="Y9" s="73">
        <v>1</v>
      </c>
      <c r="Z9" s="73">
        <v>1</v>
      </c>
      <c r="AA9" s="79">
        <f t="shared" si="4"/>
        <v>1</v>
      </c>
      <c r="AB9" s="78">
        <v>1</v>
      </c>
      <c r="AC9" s="73">
        <v>1</v>
      </c>
      <c r="AD9" s="73">
        <v>1</v>
      </c>
      <c r="AE9" s="73">
        <v>1</v>
      </c>
      <c r="AF9" s="73">
        <v>1</v>
      </c>
      <c r="AG9" s="79">
        <f t="shared" si="5"/>
        <v>1</v>
      </c>
      <c r="AH9" s="73">
        <v>1</v>
      </c>
      <c r="AI9" s="73">
        <v>1</v>
      </c>
      <c r="AJ9" s="73">
        <v>1</v>
      </c>
      <c r="AK9" s="73">
        <v>1</v>
      </c>
      <c r="AL9" s="73">
        <v>1</v>
      </c>
      <c r="AM9" s="79">
        <f t="shared" si="6"/>
        <v>1</v>
      </c>
      <c r="AN9" s="80">
        <v>1</v>
      </c>
      <c r="AO9" s="73">
        <v>1</v>
      </c>
      <c r="AP9" s="73">
        <v>1</v>
      </c>
      <c r="AQ9" s="73">
        <v>0</v>
      </c>
      <c r="AR9" s="73">
        <v>1</v>
      </c>
      <c r="AS9" s="79">
        <f t="shared" si="7"/>
        <v>0.8</v>
      </c>
      <c r="AT9" s="73">
        <v>1</v>
      </c>
      <c r="AU9" s="73">
        <v>1</v>
      </c>
      <c r="AV9" s="73">
        <v>1</v>
      </c>
      <c r="AW9" s="73">
        <v>0</v>
      </c>
      <c r="AX9" s="73">
        <v>1</v>
      </c>
      <c r="AY9" s="79">
        <f t="shared" si="8"/>
        <v>0.8</v>
      </c>
      <c r="AZ9" s="73">
        <v>0.5</v>
      </c>
      <c r="BA9" s="73">
        <v>0.5</v>
      </c>
      <c r="BB9" s="73">
        <v>0</v>
      </c>
      <c r="BC9" s="73">
        <v>0</v>
      </c>
      <c r="BD9" s="73">
        <v>0</v>
      </c>
      <c r="BE9" s="79">
        <f t="shared" si="9"/>
        <v>0.2</v>
      </c>
      <c r="BF9" s="73">
        <v>0</v>
      </c>
      <c r="BG9" s="73">
        <v>0</v>
      </c>
      <c r="BH9" s="73">
        <v>0</v>
      </c>
      <c r="BI9" s="73">
        <v>0</v>
      </c>
      <c r="BJ9" s="73">
        <v>0</v>
      </c>
      <c r="BK9" s="79">
        <f t="shared" si="10"/>
        <v>0</v>
      </c>
      <c r="BL9" s="81"/>
      <c r="BM9" s="73"/>
      <c r="BN9" s="73"/>
      <c r="BO9" s="73"/>
      <c r="BP9" s="73"/>
      <c r="BQ9" s="73"/>
      <c r="BR9" s="79">
        <f t="shared" si="11"/>
        <v>0</v>
      </c>
      <c r="BS9" s="73"/>
      <c r="BT9" s="73"/>
      <c r="BU9" s="73"/>
      <c r="BV9" s="73"/>
      <c r="BW9" s="73"/>
      <c r="BX9" s="79">
        <f t="shared" si="12"/>
        <v>0</v>
      </c>
      <c r="BY9" s="73"/>
      <c r="BZ9" s="73"/>
      <c r="CA9" s="73"/>
      <c r="CB9" s="73"/>
      <c r="CC9" s="73"/>
      <c r="CD9" s="79">
        <f t="shared" si="13"/>
        <v>0</v>
      </c>
      <c r="CE9" s="73"/>
      <c r="CF9" s="73"/>
      <c r="CG9" s="73"/>
      <c r="CH9" s="73"/>
      <c r="CI9" s="73"/>
      <c r="CJ9" s="79">
        <f t="shared" si="14"/>
        <v>0</v>
      </c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B9" s="73"/>
      <c r="DC9" s="73"/>
      <c r="DD9" s="73"/>
      <c r="DE9" s="73"/>
      <c r="DF9" s="73"/>
      <c r="DG9" s="73"/>
      <c r="DH9" s="73"/>
      <c r="DI9" s="73"/>
      <c r="DJ9" s="73"/>
      <c r="DK9" s="73"/>
      <c r="DL9" s="73"/>
      <c r="DM9" s="73"/>
      <c r="DN9" s="73"/>
    </row>
    <row r="10" spans="1:118" ht="16" x14ac:dyDescent="0.2">
      <c r="A10" s="5" t="s">
        <v>663</v>
      </c>
      <c r="B10" s="5">
        <v>1</v>
      </c>
      <c r="C10" s="13" t="s">
        <v>662</v>
      </c>
      <c r="D10" s="5" t="s">
        <v>161</v>
      </c>
      <c r="E10" s="118"/>
      <c r="F10" s="119"/>
      <c r="G10" s="5">
        <v>1</v>
      </c>
      <c r="H10" s="5">
        <v>1</v>
      </c>
      <c r="I10" s="16">
        <f>_xlfn.XLOOKUP(C10,'[1]3V_CD'!$C:$C,'[1]3V_CD'!$I:$I,"NO ENCONTRADO")</f>
        <v>1</v>
      </c>
      <c r="J10" s="5">
        <v>1</v>
      </c>
      <c r="K10" s="96">
        <f t="shared" si="15"/>
        <v>86</v>
      </c>
      <c r="L10" s="30">
        <f t="shared" si="0"/>
        <v>56</v>
      </c>
      <c r="M10" s="33">
        <f t="shared" si="1"/>
        <v>80</v>
      </c>
      <c r="N10" s="33">
        <f t="shared" si="2"/>
        <v>80</v>
      </c>
      <c r="O10" s="57"/>
      <c r="P10" s="44">
        <v>1</v>
      </c>
      <c r="Q10" s="5">
        <v>1</v>
      </c>
      <c r="R10" s="5">
        <v>1</v>
      </c>
      <c r="S10" s="5">
        <v>1</v>
      </c>
      <c r="T10" s="5">
        <v>1</v>
      </c>
      <c r="U10" s="48">
        <f t="shared" si="3"/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48">
        <f t="shared" si="4"/>
        <v>1</v>
      </c>
      <c r="AB10" s="44">
        <v>1</v>
      </c>
      <c r="AC10" s="5">
        <v>1</v>
      </c>
      <c r="AD10" s="5">
        <v>1</v>
      </c>
      <c r="AE10" s="5">
        <v>1</v>
      </c>
      <c r="AF10" s="5">
        <v>1</v>
      </c>
      <c r="AG10" s="48">
        <f t="shared" si="5"/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48">
        <f t="shared" si="6"/>
        <v>1</v>
      </c>
      <c r="AN10" s="34">
        <v>1</v>
      </c>
      <c r="AO10" s="5">
        <v>1</v>
      </c>
      <c r="AP10" s="5">
        <v>1</v>
      </c>
      <c r="AQ10" s="5">
        <v>1</v>
      </c>
      <c r="AR10" s="5">
        <v>1</v>
      </c>
      <c r="AS10" s="48">
        <f t="shared" si="7"/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48">
        <f t="shared" si="8"/>
        <v>1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48">
        <f t="shared" si="9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48">
        <f t="shared" si="10"/>
        <v>0</v>
      </c>
      <c r="BL10" s="55"/>
      <c r="BM10" s="5"/>
      <c r="BN10" s="5"/>
      <c r="BO10" s="5"/>
      <c r="BP10" s="5"/>
      <c r="BQ10" s="5"/>
      <c r="BR10" s="48">
        <f t="shared" si="11"/>
        <v>0</v>
      </c>
      <c r="BS10" s="5"/>
      <c r="BT10" s="5"/>
      <c r="BU10" s="5"/>
      <c r="BV10" s="5"/>
      <c r="BW10" s="5"/>
      <c r="BX10" s="48">
        <f t="shared" si="12"/>
        <v>0</v>
      </c>
      <c r="BY10" s="5"/>
      <c r="BZ10" s="5"/>
      <c r="CA10" s="5"/>
      <c r="CB10" s="5"/>
      <c r="CC10" s="5"/>
      <c r="CD10" s="48">
        <f t="shared" si="13"/>
        <v>0</v>
      </c>
      <c r="CE10" s="5"/>
      <c r="CF10" s="5"/>
      <c r="CG10" s="5"/>
      <c r="CH10" s="5"/>
      <c r="CI10" s="5"/>
      <c r="CJ10" s="48">
        <f t="shared" si="14"/>
        <v>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</row>
    <row r="11" spans="1:118" s="70" customFormat="1" ht="16" x14ac:dyDescent="0.2">
      <c r="A11" s="61" t="s">
        <v>661</v>
      </c>
      <c r="B11" s="61">
        <v>1</v>
      </c>
      <c r="C11" s="62" t="s">
        <v>660</v>
      </c>
      <c r="D11" s="61" t="s">
        <v>161</v>
      </c>
      <c r="E11" s="118"/>
      <c r="F11" s="119"/>
      <c r="G11" s="61"/>
      <c r="H11" s="61"/>
      <c r="I11" s="61"/>
      <c r="J11" s="61"/>
      <c r="K11" s="96"/>
      <c r="L11" s="63" t="e">
        <f t="shared" si="0"/>
        <v>#DIV/0!</v>
      </c>
      <c r="M11" s="64" t="e">
        <f t="shared" si="1"/>
        <v>#DIV/0!</v>
      </c>
      <c r="N11" s="64" t="e">
        <f t="shared" si="2"/>
        <v>#DIV/0!</v>
      </c>
      <c r="O11" s="65"/>
      <c r="P11" s="66"/>
      <c r="Q11" s="61"/>
      <c r="R11" s="61"/>
      <c r="S11" s="61"/>
      <c r="T11" s="61"/>
      <c r="U11" s="67" t="e">
        <f t="shared" si="3"/>
        <v>#DIV/0!</v>
      </c>
      <c r="V11" s="61"/>
      <c r="W11" s="61"/>
      <c r="X11" s="61"/>
      <c r="Y11" s="61"/>
      <c r="Z11" s="61"/>
      <c r="AA11" s="67" t="e">
        <f t="shared" si="4"/>
        <v>#DIV/0!</v>
      </c>
      <c r="AB11" s="66"/>
      <c r="AC11" s="61"/>
      <c r="AD11" s="61"/>
      <c r="AE11" s="61"/>
      <c r="AF11" s="61"/>
      <c r="AG11" s="67" t="e">
        <f t="shared" si="5"/>
        <v>#DIV/0!</v>
      </c>
      <c r="AH11" s="61"/>
      <c r="AI11" s="61"/>
      <c r="AJ11" s="61"/>
      <c r="AK11" s="61"/>
      <c r="AL11" s="61"/>
      <c r="AM11" s="67" t="e">
        <f t="shared" si="6"/>
        <v>#DIV/0!</v>
      </c>
      <c r="AN11" s="68"/>
      <c r="AO11" s="61"/>
      <c r="AP11" s="61"/>
      <c r="AQ11" s="61"/>
      <c r="AR11" s="61"/>
      <c r="AS11" s="67" t="e">
        <f t="shared" si="7"/>
        <v>#DIV/0!</v>
      </c>
      <c r="AT11" s="61"/>
      <c r="AU11" s="61"/>
      <c r="AV11" s="61"/>
      <c r="AW11" s="61"/>
      <c r="AX11" s="61"/>
      <c r="AY11" s="67" t="e">
        <f t="shared" si="8"/>
        <v>#DIV/0!</v>
      </c>
      <c r="AZ11" s="61"/>
      <c r="BA11" s="61"/>
      <c r="BB11" s="61"/>
      <c r="BC11" s="61"/>
      <c r="BD11" s="61"/>
      <c r="BE11" s="67" t="e">
        <f t="shared" si="9"/>
        <v>#DIV/0!</v>
      </c>
      <c r="BF11" s="61"/>
      <c r="BG11" s="61"/>
      <c r="BH11" s="61"/>
      <c r="BI11" s="61"/>
      <c r="BJ11" s="61"/>
      <c r="BK11" s="67" t="e">
        <f t="shared" si="10"/>
        <v>#DIV/0!</v>
      </c>
      <c r="BL11" s="69"/>
      <c r="BM11" s="61"/>
      <c r="BN11" s="61"/>
      <c r="BO11" s="61"/>
      <c r="BP11" s="61"/>
      <c r="BQ11" s="61"/>
      <c r="BR11" s="67">
        <f t="shared" si="11"/>
        <v>0</v>
      </c>
      <c r="BS11" s="61"/>
      <c r="BT11" s="61"/>
      <c r="BU11" s="61"/>
      <c r="BV11" s="61"/>
      <c r="BW11" s="61"/>
      <c r="BX11" s="67">
        <f t="shared" si="12"/>
        <v>0</v>
      </c>
      <c r="BY11" s="61"/>
      <c r="BZ11" s="61"/>
      <c r="CA11" s="61"/>
      <c r="CB11" s="61"/>
      <c r="CC11" s="61"/>
      <c r="CD11" s="67">
        <f t="shared" si="13"/>
        <v>0</v>
      </c>
      <c r="CE11" s="61"/>
      <c r="CF11" s="61"/>
      <c r="CG11" s="61"/>
      <c r="CH11" s="61"/>
      <c r="CI11" s="61"/>
      <c r="CJ11" s="67">
        <f t="shared" si="14"/>
        <v>0</v>
      </c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</row>
    <row r="12" spans="1:118" ht="16" x14ac:dyDescent="0.2">
      <c r="A12" s="5" t="s">
        <v>659</v>
      </c>
      <c r="B12" s="5">
        <v>1</v>
      </c>
      <c r="C12" s="13" t="s">
        <v>658</v>
      </c>
      <c r="D12" s="5" t="s">
        <v>161</v>
      </c>
      <c r="E12" s="118"/>
      <c r="F12" s="119"/>
      <c r="G12" s="5">
        <v>1</v>
      </c>
      <c r="H12" s="5">
        <v>1</v>
      </c>
      <c r="I12" s="16">
        <f>_xlfn.XLOOKUP(C12,'[1]3V_CD'!$C:$C,'[1]3V_CD'!$I:$I,"NO ENCONTRADO")</f>
        <v>1</v>
      </c>
      <c r="J12" s="5">
        <v>1</v>
      </c>
      <c r="K12" s="96">
        <f t="shared" si="15"/>
        <v>100</v>
      </c>
      <c r="L12" s="30">
        <f t="shared" si="0"/>
        <v>70</v>
      </c>
      <c r="M12" s="33">
        <f t="shared" si="1"/>
        <v>100</v>
      </c>
      <c r="N12" s="33">
        <f t="shared" si="2"/>
        <v>100</v>
      </c>
      <c r="O12" s="57">
        <v>15</v>
      </c>
      <c r="P12" s="44">
        <v>1</v>
      </c>
      <c r="Q12" s="5">
        <v>1</v>
      </c>
      <c r="R12" s="5">
        <v>1</v>
      </c>
      <c r="S12" s="5">
        <v>1</v>
      </c>
      <c r="T12" s="5">
        <v>1</v>
      </c>
      <c r="U12" s="48">
        <f t="shared" si="3"/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48">
        <f t="shared" si="4"/>
        <v>1</v>
      </c>
      <c r="AB12" s="44">
        <v>1</v>
      </c>
      <c r="AC12" s="5">
        <v>1</v>
      </c>
      <c r="AD12" s="5">
        <v>1</v>
      </c>
      <c r="AE12" s="5">
        <v>1</v>
      </c>
      <c r="AF12" s="5">
        <v>1</v>
      </c>
      <c r="AG12" s="48">
        <f t="shared" si="5"/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48">
        <f t="shared" si="6"/>
        <v>1</v>
      </c>
      <c r="AN12" s="34">
        <v>1</v>
      </c>
      <c r="AO12" s="5">
        <v>1</v>
      </c>
      <c r="AP12" s="5">
        <v>1</v>
      </c>
      <c r="AQ12" s="5">
        <v>0</v>
      </c>
      <c r="AR12" s="5">
        <v>0</v>
      </c>
      <c r="AS12" s="48">
        <f t="shared" si="7"/>
        <v>0.6</v>
      </c>
      <c r="AT12" s="5">
        <v>1</v>
      </c>
      <c r="AU12" s="5">
        <v>1</v>
      </c>
      <c r="AV12" s="5">
        <v>1</v>
      </c>
      <c r="AW12" s="5">
        <v>0</v>
      </c>
      <c r="AX12" s="5">
        <v>0</v>
      </c>
      <c r="AY12" s="48">
        <f t="shared" si="8"/>
        <v>0.6</v>
      </c>
      <c r="AZ12" s="5">
        <v>0.75</v>
      </c>
      <c r="BA12" s="5">
        <v>1</v>
      </c>
      <c r="BB12" s="5">
        <v>0.5</v>
      </c>
      <c r="BC12" s="5">
        <v>1</v>
      </c>
      <c r="BD12" s="5">
        <v>1</v>
      </c>
      <c r="BE12" s="48">
        <f t="shared" si="9"/>
        <v>0.85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48">
        <f t="shared" si="10"/>
        <v>0</v>
      </c>
      <c r="BL12" s="55"/>
      <c r="BM12" s="5"/>
      <c r="BN12" s="5"/>
      <c r="BO12" s="5"/>
      <c r="BP12" s="5"/>
      <c r="BQ12" s="5"/>
      <c r="BR12" s="48">
        <f t="shared" si="11"/>
        <v>0</v>
      </c>
      <c r="BS12" s="5"/>
      <c r="BT12" s="5"/>
      <c r="BU12" s="5"/>
      <c r="BV12" s="5"/>
      <c r="BW12" s="5"/>
      <c r="BX12" s="48">
        <f t="shared" si="12"/>
        <v>0</v>
      </c>
      <c r="BY12" s="5"/>
      <c r="BZ12" s="5"/>
      <c r="CA12" s="5"/>
      <c r="CB12" s="5"/>
      <c r="CC12" s="5"/>
      <c r="CD12" s="48">
        <f t="shared" si="13"/>
        <v>0</v>
      </c>
      <c r="CE12" s="5"/>
      <c r="CF12" s="5"/>
      <c r="CG12" s="5"/>
      <c r="CH12" s="5"/>
      <c r="CI12" s="5"/>
      <c r="CJ12" s="48">
        <f t="shared" si="14"/>
        <v>0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</row>
    <row r="13" spans="1:118" ht="16" x14ac:dyDescent="0.2">
      <c r="A13" s="7" t="s">
        <v>657</v>
      </c>
      <c r="B13" s="7">
        <v>1</v>
      </c>
      <c r="C13" s="14" t="s">
        <v>656</v>
      </c>
      <c r="D13" s="7" t="s">
        <v>161</v>
      </c>
      <c r="E13" s="118"/>
      <c r="F13" s="119"/>
      <c r="G13" s="7">
        <v>1</v>
      </c>
      <c r="H13" s="7">
        <v>1</v>
      </c>
      <c r="I13" s="16">
        <f>_xlfn.XLOOKUP(C13,'[1]3V_CD'!$C:$C,'[1]3V_CD'!$I:$I,"NO ENCONTRADO")</f>
        <v>1</v>
      </c>
      <c r="J13" s="7">
        <v>1</v>
      </c>
      <c r="K13" s="96">
        <f t="shared" si="15"/>
        <v>100</v>
      </c>
      <c r="L13" s="30">
        <f t="shared" si="0"/>
        <v>70</v>
      </c>
      <c r="M13" s="33">
        <f t="shared" si="1"/>
        <v>100</v>
      </c>
      <c r="N13" s="33">
        <f t="shared" si="2"/>
        <v>104.5</v>
      </c>
      <c r="O13" s="57">
        <v>10</v>
      </c>
      <c r="P13" s="45">
        <v>1</v>
      </c>
      <c r="Q13" s="7">
        <v>0.75</v>
      </c>
      <c r="R13" s="7">
        <v>0.5</v>
      </c>
      <c r="S13" s="7">
        <v>0</v>
      </c>
      <c r="T13" s="7">
        <v>0</v>
      </c>
      <c r="U13" s="48">
        <f t="shared" si="3"/>
        <v>0.45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48">
        <f t="shared" si="4"/>
        <v>1</v>
      </c>
      <c r="AB13" s="45">
        <v>1</v>
      </c>
      <c r="AC13" s="7">
        <v>1</v>
      </c>
      <c r="AD13" s="7">
        <v>1</v>
      </c>
      <c r="AE13" s="7">
        <v>1</v>
      </c>
      <c r="AF13" s="7">
        <v>1</v>
      </c>
      <c r="AG13" s="48">
        <f t="shared" si="5"/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48">
        <f t="shared" si="6"/>
        <v>1</v>
      </c>
      <c r="AN13" s="35">
        <v>1</v>
      </c>
      <c r="AO13" s="7">
        <v>1</v>
      </c>
      <c r="AP13" s="7">
        <v>1</v>
      </c>
      <c r="AQ13" s="7">
        <v>1</v>
      </c>
      <c r="AR13" s="7">
        <v>1</v>
      </c>
      <c r="AS13" s="48">
        <f t="shared" si="7"/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48">
        <f t="shared" si="8"/>
        <v>1</v>
      </c>
      <c r="AZ13" s="7">
        <v>1</v>
      </c>
      <c r="BA13" s="7">
        <v>1</v>
      </c>
      <c r="BB13" s="7">
        <v>1</v>
      </c>
      <c r="BC13" s="7">
        <v>1</v>
      </c>
      <c r="BD13" s="7">
        <v>1</v>
      </c>
      <c r="BE13" s="48">
        <f t="shared" si="9"/>
        <v>1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48">
        <f t="shared" si="10"/>
        <v>0</v>
      </c>
      <c r="BL13" s="55"/>
      <c r="BM13" s="7"/>
      <c r="BN13" s="7"/>
      <c r="BO13" s="7"/>
      <c r="BP13" s="7"/>
      <c r="BQ13" s="7"/>
      <c r="BR13" s="48">
        <f t="shared" si="11"/>
        <v>0</v>
      </c>
      <c r="BS13" s="7"/>
      <c r="BT13" s="7"/>
      <c r="BU13" s="7"/>
      <c r="BV13" s="7"/>
      <c r="BW13" s="7"/>
      <c r="BX13" s="48">
        <f t="shared" si="12"/>
        <v>0</v>
      </c>
      <c r="BY13" s="7"/>
      <c r="BZ13" s="7"/>
      <c r="CA13" s="7"/>
      <c r="CB13" s="7"/>
      <c r="CC13" s="7"/>
      <c r="CD13" s="48">
        <f t="shared" si="13"/>
        <v>0</v>
      </c>
      <c r="CE13" s="7"/>
      <c r="CF13" s="7"/>
      <c r="CG13" s="7"/>
      <c r="CH13" s="7"/>
      <c r="CI13" s="7"/>
      <c r="CJ13" s="48">
        <f t="shared" si="14"/>
        <v>0</v>
      </c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</row>
    <row r="14" spans="1:118" ht="16" x14ac:dyDescent="0.2">
      <c r="A14" s="73" t="s">
        <v>655</v>
      </c>
      <c r="B14" s="73">
        <v>1</v>
      </c>
      <c r="C14" s="74" t="s">
        <v>654</v>
      </c>
      <c r="D14" s="73" t="s">
        <v>161</v>
      </c>
      <c r="E14" s="118"/>
      <c r="F14" s="119"/>
      <c r="G14" s="73">
        <v>1</v>
      </c>
      <c r="H14" s="73">
        <v>1</v>
      </c>
      <c r="I14" s="16">
        <f>_xlfn.XLOOKUP(C14,'[1]3V_CD'!$C:$C,'[1]3V_CD'!$I:$I,"NO ENCONTRADO")</f>
        <v>1</v>
      </c>
      <c r="J14" s="73">
        <v>1</v>
      </c>
      <c r="K14" s="96">
        <f t="shared" si="15"/>
        <v>49.599999999999994</v>
      </c>
      <c r="L14" s="75">
        <f t="shared" si="0"/>
        <v>19.599999999999998</v>
      </c>
      <c r="M14" s="76">
        <f t="shared" si="1"/>
        <v>28</v>
      </c>
      <c r="N14" s="76">
        <f t="shared" si="2"/>
        <v>28</v>
      </c>
      <c r="O14" s="77"/>
      <c r="P14" s="78">
        <v>1</v>
      </c>
      <c r="Q14" s="73">
        <v>1</v>
      </c>
      <c r="R14" s="73">
        <v>1</v>
      </c>
      <c r="S14" s="73">
        <v>1</v>
      </c>
      <c r="T14" s="73">
        <v>1</v>
      </c>
      <c r="U14" s="79">
        <f t="shared" si="3"/>
        <v>1</v>
      </c>
      <c r="V14" s="73">
        <v>1</v>
      </c>
      <c r="W14" s="73">
        <v>1</v>
      </c>
      <c r="X14" s="73">
        <v>1</v>
      </c>
      <c r="Y14" s="73">
        <v>1</v>
      </c>
      <c r="Z14" s="73">
        <v>1</v>
      </c>
      <c r="AA14" s="79">
        <f t="shared" si="4"/>
        <v>1</v>
      </c>
      <c r="AB14" s="78">
        <v>0</v>
      </c>
      <c r="AC14" s="73">
        <v>0</v>
      </c>
      <c r="AD14" s="73">
        <v>0</v>
      </c>
      <c r="AE14" s="73">
        <v>0</v>
      </c>
      <c r="AF14" s="73">
        <v>0</v>
      </c>
      <c r="AG14" s="79">
        <f t="shared" si="5"/>
        <v>0</v>
      </c>
      <c r="AH14" s="73">
        <v>0</v>
      </c>
      <c r="AI14" s="73">
        <v>0</v>
      </c>
      <c r="AJ14" s="73">
        <v>0</v>
      </c>
      <c r="AK14" s="73">
        <v>0</v>
      </c>
      <c r="AL14" s="73">
        <v>0</v>
      </c>
      <c r="AM14" s="79">
        <f t="shared" si="6"/>
        <v>0</v>
      </c>
      <c r="AN14" s="80">
        <v>0</v>
      </c>
      <c r="AO14" s="73">
        <v>0</v>
      </c>
      <c r="AP14" s="73">
        <v>0</v>
      </c>
      <c r="AQ14" s="73">
        <v>0</v>
      </c>
      <c r="AR14" s="73">
        <v>0</v>
      </c>
      <c r="AS14" s="79">
        <f t="shared" si="7"/>
        <v>0</v>
      </c>
      <c r="AT14" s="73">
        <v>0</v>
      </c>
      <c r="AU14" s="73">
        <v>0</v>
      </c>
      <c r="AV14" s="73">
        <v>0</v>
      </c>
      <c r="AW14" s="73">
        <v>0</v>
      </c>
      <c r="AX14" s="73">
        <v>0</v>
      </c>
      <c r="AY14" s="79">
        <f t="shared" si="8"/>
        <v>0</v>
      </c>
      <c r="AZ14" s="73">
        <v>0.5</v>
      </c>
      <c r="BA14" s="73">
        <v>0.5</v>
      </c>
      <c r="BB14" s="73">
        <v>0</v>
      </c>
      <c r="BC14" s="73">
        <v>0</v>
      </c>
      <c r="BD14" s="73">
        <v>0</v>
      </c>
      <c r="BE14" s="79">
        <f t="shared" si="9"/>
        <v>0.2</v>
      </c>
      <c r="BF14" s="73">
        <v>0.5</v>
      </c>
      <c r="BG14" s="73">
        <v>0.5</v>
      </c>
      <c r="BH14" s="73">
        <v>0</v>
      </c>
      <c r="BI14" s="73">
        <v>0</v>
      </c>
      <c r="BJ14" s="73">
        <v>0</v>
      </c>
      <c r="BK14" s="79">
        <f t="shared" si="10"/>
        <v>0.2</v>
      </c>
      <c r="BL14" s="81"/>
      <c r="BM14" s="73"/>
      <c r="BN14" s="73"/>
      <c r="BO14" s="73"/>
      <c r="BP14" s="73"/>
      <c r="BQ14" s="73"/>
      <c r="BR14" s="79">
        <f t="shared" si="11"/>
        <v>0</v>
      </c>
      <c r="BS14" s="73"/>
      <c r="BT14" s="73"/>
      <c r="BU14" s="73"/>
      <c r="BV14" s="73"/>
      <c r="BW14" s="73"/>
      <c r="BX14" s="79">
        <f t="shared" si="12"/>
        <v>0</v>
      </c>
      <c r="BY14" s="73"/>
      <c r="BZ14" s="73"/>
      <c r="CA14" s="73"/>
      <c r="CB14" s="73"/>
      <c r="CC14" s="73"/>
      <c r="CD14" s="79">
        <f t="shared" si="13"/>
        <v>0</v>
      </c>
      <c r="CE14" s="73"/>
      <c r="CF14" s="73"/>
      <c r="CG14" s="73"/>
      <c r="CH14" s="73"/>
      <c r="CI14" s="73"/>
      <c r="CJ14" s="79">
        <f t="shared" si="14"/>
        <v>0</v>
      </c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</row>
    <row r="15" spans="1:118" ht="16" x14ac:dyDescent="0.2">
      <c r="A15" s="7" t="s">
        <v>653</v>
      </c>
      <c r="B15" s="7">
        <v>1</v>
      </c>
      <c r="C15" s="14" t="s">
        <v>652</v>
      </c>
      <c r="D15" s="7" t="s">
        <v>161</v>
      </c>
      <c r="E15" s="118"/>
      <c r="F15" s="119"/>
      <c r="G15" s="7">
        <v>1</v>
      </c>
      <c r="H15" s="7">
        <v>1</v>
      </c>
      <c r="I15" s="16">
        <f>_xlfn.XLOOKUP(C15,'[1]3V_CD'!$C:$C,'[1]3V_CD'!$I:$I,"NO ENCONTRADO")</f>
        <v>1</v>
      </c>
      <c r="J15" s="7">
        <v>1</v>
      </c>
      <c r="K15" s="96">
        <f t="shared" si="15"/>
        <v>100</v>
      </c>
      <c r="L15" s="30">
        <f t="shared" si="0"/>
        <v>70</v>
      </c>
      <c r="M15" s="33">
        <f t="shared" si="1"/>
        <v>100</v>
      </c>
      <c r="N15" s="33">
        <f t="shared" si="2"/>
        <v>120</v>
      </c>
      <c r="O15" s="57"/>
      <c r="P15" s="45">
        <v>1</v>
      </c>
      <c r="Q15" s="7">
        <v>1</v>
      </c>
      <c r="R15" s="7">
        <v>1</v>
      </c>
      <c r="S15" s="7">
        <v>1</v>
      </c>
      <c r="T15" s="7">
        <v>1</v>
      </c>
      <c r="U15" s="48">
        <f t="shared" si="3"/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48">
        <f t="shared" si="4"/>
        <v>1</v>
      </c>
      <c r="AB15" s="45">
        <v>1</v>
      </c>
      <c r="AC15" s="7">
        <v>1</v>
      </c>
      <c r="AD15" s="7">
        <v>1</v>
      </c>
      <c r="AE15" s="7">
        <v>1</v>
      </c>
      <c r="AF15" s="7">
        <v>1</v>
      </c>
      <c r="AG15" s="48">
        <f t="shared" si="5"/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48">
        <f t="shared" si="6"/>
        <v>1</v>
      </c>
      <c r="AN15" s="35">
        <v>1</v>
      </c>
      <c r="AO15" s="7">
        <v>1</v>
      </c>
      <c r="AP15" s="7">
        <v>1</v>
      </c>
      <c r="AQ15" s="7">
        <v>1</v>
      </c>
      <c r="AR15" s="7">
        <v>1</v>
      </c>
      <c r="AS15" s="48">
        <f t="shared" si="7"/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48">
        <f t="shared" si="8"/>
        <v>1</v>
      </c>
      <c r="AZ15" s="7">
        <v>1</v>
      </c>
      <c r="BA15" s="7">
        <v>1</v>
      </c>
      <c r="BB15" s="7">
        <v>1</v>
      </c>
      <c r="BC15" s="7">
        <v>1</v>
      </c>
      <c r="BD15" s="7">
        <v>1</v>
      </c>
      <c r="BE15" s="48">
        <f t="shared" si="9"/>
        <v>1</v>
      </c>
      <c r="BF15" s="7">
        <v>1</v>
      </c>
      <c r="BG15" s="7">
        <v>1</v>
      </c>
      <c r="BH15" s="7">
        <v>1</v>
      </c>
      <c r="BI15" s="7">
        <v>1</v>
      </c>
      <c r="BJ15" s="7">
        <v>1</v>
      </c>
      <c r="BK15" s="48">
        <f t="shared" si="10"/>
        <v>1</v>
      </c>
      <c r="BL15" s="55"/>
      <c r="BM15" s="7"/>
      <c r="BN15" s="7"/>
      <c r="BO15" s="7"/>
      <c r="BP15" s="7"/>
      <c r="BQ15" s="7"/>
      <c r="BR15" s="48">
        <f t="shared" si="11"/>
        <v>0</v>
      </c>
      <c r="BS15" s="7"/>
      <c r="BT15" s="7"/>
      <c r="BU15" s="7"/>
      <c r="BV15" s="7"/>
      <c r="BW15" s="7"/>
      <c r="BX15" s="48">
        <f t="shared" si="12"/>
        <v>0</v>
      </c>
      <c r="BY15" s="7"/>
      <c r="BZ15" s="7"/>
      <c r="CA15" s="7"/>
      <c r="CB15" s="7"/>
      <c r="CC15" s="7"/>
      <c r="CD15" s="48">
        <f t="shared" si="13"/>
        <v>0</v>
      </c>
      <c r="CE15" s="7"/>
      <c r="CF15" s="7"/>
      <c r="CG15" s="7"/>
      <c r="CH15" s="7"/>
      <c r="CI15" s="7"/>
      <c r="CJ15" s="48">
        <f t="shared" si="14"/>
        <v>0</v>
      </c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</row>
    <row r="16" spans="1:118" s="70" customFormat="1" ht="16" x14ac:dyDescent="0.2">
      <c r="A16" s="61" t="s">
        <v>651</v>
      </c>
      <c r="B16" s="61">
        <v>1</v>
      </c>
      <c r="C16" s="62" t="s">
        <v>650</v>
      </c>
      <c r="D16" s="61" t="s">
        <v>161</v>
      </c>
      <c r="E16" s="118"/>
      <c r="F16" s="119"/>
      <c r="G16" s="61"/>
      <c r="H16" s="61"/>
      <c r="I16" s="61"/>
      <c r="J16" s="61"/>
      <c r="K16" s="96"/>
      <c r="L16" s="63" t="e">
        <f t="shared" si="0"/>
        <v>#DIV/0!</v>
      </c>
      <c r="M16" s="64" t="e">
        <f t="shared" si="1"/>
        <v>#DIV/0!</v>
      </c>
      <c r="N16" s="64" t="e">
        <f t="shared" si="2"/>
        <v>#DIV/0!</v>
      </c>
      <c r="O16" s="65"/>
      <c r="P16" s="66"/>
      <c r="Q16" s="61"/>
      <c r="R16" s="61"/>
      <c r="S16" s="61"/>
      <c r="T16" s="61"/>
      <c r="U16" s="67" t="e">
        <f t="shared" si="3"/>
        <v>#DIV/0!</v>
      </c>
      <c r="V16" s="61"/>
      <c r="W16" s="61"/>
      <c r="X16" s="61"/>
      <c r="Y16" s="61"/>
      <c r="Z16" s="61"/>
      <c r="AA16" s="67" t="e">
        <f t="shared" si="4"/>
        <v>#DIV/0!</v>
      </c>
      <c r="AB16" s="66"/>
      <c r="AC16" s="61"/>
      <c r="AD16" s="61"/>
      <c r="AE16" s="61"/>
      <c r="AF16" s="61"/>
      <c r="AG16" s="67" t="e">
        <f t="shared" si="5"/>
        <v>#DIV/0!</v>
      </c>
      <c r="AH16" s="61"/>
      <c r="AI16" s="61"/>
      <c r="AJ16" s="61"/>
      <c r="AK16" s="61"/>
      <c r="AL16" s="61"/>
      <c r="AM16" s="67" t="e">
        <f t="shared" si="6"/>
        <v>#DIV/0!</v>
      </c>
      <c r="AN16" s="68"/>
      <c r="AO16" s="61"/>
      <c r="AP16" s="61"/>
      <c r="AQ16" s="61"/>
      <c r="AR16" s="61"/>
      <c r="AS16" s="67" t="e">
        <f t="shared" si="7"/>
        <v>#DIV/0!</v>
      </c>
      <c r="AT16" s="61"/>
      <c r="AU16" s="61"/>
      <c r="AV16" s="61"/>
      <c r="AW16" s="61"/>
      <c r="AX16" s="61"/>
      <c r="AY16" s="67" t="e">
        <f t="shared" si="8"/>
        <v>#DIV/0!</v>
      </c>
      <c r="AZ16" s="61"/>
      <c r="BA16" s="61"/>
      <c r="BB16" s="61"/>
      <c r="BC16" s="61"/>
      <c r="BD16" s="61"/>
      <c r="BE16" s="67" t="e">
        <f t="shared" si="9"/>
        <v>#DIV/0!</v>
      </c>
      <c r="BF16" s="61"/>
      <c r="BG16" s="61"/>
      <c r="BH16" s="61"/>
      <c r="BI16" s="61"/>
      <c r="BJ16" s="61"/>
      <c r="BK16" s="67" t="e">
        <f t="shared" si="10"/>
        <v>#DIV/0!</v>
      </c>
      <c r="BL16" s="69"/>
      <c r="BM16" s="61"/>
      <c r="BN16" s="61"/>
      <c r="BO16" s="61"/>
      <c r="BP16" s="61"/>
      <c r="BQ16" s="61"/>
      <c r="BR16" s="67">
        <f t="shared" si="11"/>
        <v>0</v>
      </c>
      <c r="BS16" s="61"/>
      <c r="BT16" s="61"/>
      <c r="BU16" s="61"/>
      <c r="BV16" s="61"/>
      <c r="BW16" s="61"/>
      <c r="BX16" s="67">
        <f t="shared" si="12"/>
        <v>0</v>
      </c>
      <c r="BY16" s="61"/>
      <c r="BZ16" s="61"/>
      <c r="CA16" s="61"/>
      <c r="CB16" s="61"/>
      <c r="CC16" s="61"/>
      <c r="CD16" s="67">
        <f t="shared" si="13"/>
        <v>0</v>
      </c>
      <c r="CE16" s="61"/>
      <c r="CF16" s="61"/>
      <c r="CG16" s="61"/>
      <c r="CH16" s="61"/>
      <c r="CI16" s="61"/>
      <c r="CJ16" s="67">
        <f t="shared" si="14"/>
        <v>0</v>
      </c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</row>
    <row r="17" spans="1:118" ht="16" x14ac:dyDescent="0.2">
      <c r="A17" s="7" t="s">
        <v>649</v>
      </c>
      <c r="B17" s="7">
        <v>1</v>
      </c>
      <c r="C17" s="14" t="s">
        <v>648</v>
      </c>
      <c r="D17" s="7" t="s">
        <v>161</v>
      </c>
      <c r="E17" s="118"/>
      <c r="F17" s="119"/>
      <c r="G17" s="7">
        <v>1</v>
      </c>
      <c r="H17" s="7">
        <v>1</v>
      </c>
      <c r="I17" s="16">
        <f>_xlfn.XLOOKUP(C17,'[1]3V_CD'!$C:$C,'[1]3V_CD'!$I:$I,"NO ENCONTRADO")</f>
        <v>1</v>
      </c>
      <c r="J17" s="7">
        <v>1</v>
      </c>
      <c r="K17" s="96">
        <f t="shared" si="15"/>
        <v>100</v>
      </c>
      <c r="L17" s="30">
        <f t="shared" si="0"/>
        <v>70</v>
      </c>
      <c r="M17" s="33">
        <f t="shared" si="1"/>
        <v>100</v>
      </c>
      <c r="N17" s="33">
        <f t="shared" si="2"/>
        <v>129.75</v>
      </c>
      <c r="O17" s="57">
        <v>9.75</v>
      </c>
      <c r="P17" s="45">
        <v>1</v>
      </c>
      <c r="Q17" s="7">
        <v>1</v>
      </c>
      <c r="R17" s="7">
        <v>1</v>
      </c>
      <c r="S17" s="7">
        <v>1</v>
      </c>
      <c r="T17" s="7">
        <v>1</v>
      </c>
      <c r="U17" s="48">
        <f t="shared" si="3"/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48">
        <f t="shared" si="4"/>
        <v>1</v>
      </c>
      <c r="AB17" s="45">
        <v>1</v>
      </c>
      <c r="AC17" s="7">
        <v>1</v>
      </c>
      <c r="AD17" s="7">
        <v>1</v>
      </c>
      <c r="AE17" s="7">
        <v>1</v>
      </c>
      <c r="AF17" s="7">
        <v>1</v>
      </c>
      <c r="AG17" s="48">
        <f t="shared" si="5"/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48">
        <f t="shared" si="6"/>
        <v>1</v>
      </c>
      <c r="AN17" s="35">
        <v>1</v>
      </c>
      <c r="AO17" s="7">
        <v>1</v>
      </c>
      <c r="AP17" s="7">
        <v>1</v>
      </c>
      <c r="AQ17" s="7">
        <v>1</v>
      </c>
      <c r="AR17" s="7">
        <v>1</v>
      </c>
      <c r="AS17" s="48">
        <f t="shared" si="7"/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48">
        <f t="shared" si="8"/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48">
        <f t="shared" si="9"/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48">
        <f t="shared" si="10"/>
        <v>1</v>
      </c>
      <c r="BL17" s="55"/>
      <c r="BM17" s="7"/>
      <c r="BN17" s="7"/>
      <c r="BO17" s="7"/>
      <c r="BP17" s="7"/>
      <c r="BQ17" s="7"/>
      <c r="BR17" s="48">
        <f>SUM(BM17:BQ17)/5*15</f>
        <v>0</v>
      </c>
      <c r="BS17" s="7"/>
      <c r="BT17" s="7"/>
      <c r="BU17" s="7"/>
      <c r="BV17" s="7"/>
      <c r="BW17" s="7"/>
      <c r="BX17" s="48">
        <f t="shared" si="12"/>
        <v>0</v>
      </c>
      <c r="BY17" s="7"/>
      <c r="BZ17" s="7"/>
      <c r="CA17" s="7"/>
      <c r="CB17" s="7"/>
      <c r="CC17" s="7"/>
      <c r="CD17" s="48">
        <f t="shared" si="13"/>
        <v>0</v>
      </c>
      <c r="CE17" s="7"/>
      <c r="CF17" s="7"/>
      <c r="CG17" s="7"/>
      <c r="CH17" s="7"/>
      <c r="CI17" s="7"/>
      <c r="CJ17" s="48">
        <f t="shared" si="14"/>
        <v>0</v>
      </c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</row>
    <row r="18" spans="1:118" s="70" customFormat="1" ht="16" x14ac:dyDescent="0.2">
      <c r="A18" s="61" t="s">
        <v>647</v>
      </c>
      <c r="B18" s="61">
        <v>1</v>
      </c>
      <c r="C18" s="62" t="s">
        <v>646</v>
      </c>
      <c r="D18" s="61" t="s">
        <v>161</v>
      </c>
      <c r="E18" s="118"/>
      <c r="F18" s="119"/>
      <c r="G18" s="61"/>
      <c r="H18" s="61"/>
      <c r="I18" s="61"/>
      <c r="J18" s="61"/>
      <c r="K18" s="96"/>
      <c r="L18" s="63" t="e">
        <f t="shared" si="0"/>
        <v>#DIV/0!</v>
      </c>
      <c r="M18" s="64" t="e">
        <f t="shared" si="1"/>
        <v>#DIV/0!</v>
      </c>
      <c r="N18" s="64" t="e">
        <f t="shared" si="2"/>
        <v>#DIV/0!</v>
      </c>
      <c r="O18" s="65"/>
      <c r="P18" s="66"/>
      <c r="Q18" s="61"/>
      <c r="R18" s="61"/>
      <c r="S18" s="61"/>
      <c r="T18" s="61"/>
      <c r="U18" s="67" t="e">
        <f t="shared" si="3"/>
        <v>#DIV/0!</v>
      </c>
      <c r="V18" s="61"/>
      <c r="W18" s="61"/>
      <c r="X18" s="61"/>
      <c r="Y18" s="61"/>
      <c r="Z18" s="61"/>
      <c r="AA18" s="67" t="e">
        <f t="shared" si="4"/>
        <v>#DIV/0!</v>
      </c>
      <c r="AB18" s="66"/>
      <c r="AC18" s="61"/>
      <c r="AD18" s="61"/>
      <c r="AE18" s="61"/>
      <c r="AF18" s="61"/>
      <c r="AG18" s="67" t="e">
        <f t="shared" si="5"/>
        <v>#DIV/0!</v>
      </c>
      <c r="AH18" s="61"/>
      <c r="AI18" s="61"/>
      <c r="AJ18" s="61"/>
      <c r="AK18" s="61"/>
      <c r="AL18" s="61"/>
      <c r="AM18" s="67" t="e">
        <f t="shared" si="6"/>
        <v>#DIV/0!</v>
      </c>
      <c r="AN18" s="68"/>
      <c r="AO18" s="61"/>
      <c r="AP18" s="61"/>
      <c r="AQ18" s="61"/>
      <c r="AR18" s="61"/>
      <c r="AS18" s="67" t="e">
        <f t="shared" si="7"/>
        <v>#DIV/0!</v>
      </c>
      <c r="AT18" s="61"/>
      <c r="AU18" s="61"/>
      <c r="AV18" s="61"/>
      <c r="AW18" s="61"/>
      <c r="AX18" s="61"/>
      <c r="AY18" s="67" t="e">
        <f t="shared" si="8"/>
        <v>#DIV/0!</v>
      </c>
      <c r="AZ18" s="61"/>
      <c r="BA18" s="61"/>
      <c r="BB18" s="61"/>
      <c r="BC18" s="61"/>
      <c r="BD18" s="61"/>
      <c r="BE18" s="67" t="e">
        <f t="shared" si="9"/>
        <v>#DIV/0!</v>
      </c>
      <c r="BF18" s="61"/>
      <c r="BG18" s="61"/>
      <c r="BH18" s="61"/>
      <c r="BI18" s="61"/>
      <c r="BJ18" s="61"/>
      <c r="BK18" s="67" t="e">
        <f t="shared" si="10"/>
        <v>#DIV/0!</v>
      </c>
      <c r="BL18" s="69"/>
      <c r="BM18" s="61"/>
      <c r="BN18" s="61"/>
      <c r="BO18" s="61"/>
      <c r="BP18" s="61"/>
      <c r="BQ18" s="61"/>
      <c r="BR18" s="67">
        <f t="shared" si="11"/>
        <v>0</v>
      </c>
      <c r="BS18" s="61"/>
      <c r="BT18" s="61"/>
      <c r="BU18" s="61"/>
      <c r="BV18" s="61"/>
      <c r="BW18" s="61"/>
      <c r="BX18" s="67">
        <f t="shared" si="12"/>
        <v>0</v>
      </c>
      <c r="BY18" s="61"/>
      <c r="BZ18" s="61"/>
      <c r="CA18" s="61"/>
      <c r="CB18" s="61"/>
      <c r="CC18" s="61"/>
      <c r="CD18" s="67">
        <f t="shared" si="13"/>
        <v>0</v>
      </c>
      <c r="CE18" s="61"/>
      <c r="CF18" s="61"/>
      <c r="CG18" s="61"/>
      <c r="CH18" s="61"/>
      <c r="CI18" s="61"/>
      <c r="CJ18" s="67">
        <f t="shared" si="14"/>
        <v>0</v>
      </c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</row>
    <row r="19" spans="1:118" ht="16" x14ac:dyDescent="0.2">
      <c r="A19" s="7" t="s">
        <v>645</v>
      </c>
      <c r="B19" s="7">
        <v>1</v>
      </c>
      <c r="C19" s="14" t="s">
        <v>644</v>
      </c>
      <c r="D19" s="7" t="s">
        <v>161</v>
      </c>
      <c r="E19" s="118"/>
      <c r="F19" s="119"/>
      <c r="G19" s="7">
        <v>1</v>
      </c>
      <c r="H19" s="7">
        <v>1</v>
      </c>
      <c r="I19" s="16">
        <f>_xlfn.XLOOKUP(C19,'[1]3V_CD'!$C:$C,'[1]3V_CD'!$I:$I,"NO ENCONTRADO")</f>
        <v>1</v>
      </c>
      <c r="J19" s="7">
        <v>1</v>
      </c>
      <c r="K19" s="96">
        <f t="shared" si="15"/>
        <v>47.849999999999994</v>
      </c>
      <c r="L19" s="30">
        <f t="shared" si="0"/>
        <v>17.849999999999998</v>
      </c>
      <c r="M19" s="33">
        <f t="shared" si="1"/>
        <v>25.5</v>
      </c>
      <c r="N19" s="33">
        <f t="shared" si="2"/>
        <v>25.5</v>
      </c>
      <c r="O19" s="57">
        <v>24</v>
      </c>
      <c r="P19" s="45">
        <v>0</v>
      </c>
      <c r="Q19" s="7">
        <v>0</v>
      </c>
      <c r="R19" s="7">
        <v>0</v>
      </c>
      <c r="S19" s="7">
        <v>0</v>
      </c>
      <c r="T19" s="7">
        <v>0</v>
      </c>
      <c r="U19" s="48">
        <f t="shared" si="3"/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48">
        <f t="shared" si="4"/>
        <v>0</v>
      </c>
      <c r="AB19" s="45">
        <v>0</v>
      </c>
      <c r="AC19" s="7">
        <v>0</v>
      </c>
      <c r="AD19" s="7">
        <v>0</v>
      </c>
      <c r="AE19" s="7">
        <v>0</v>
      </c>
      <c r="AF19" s="7">
        <v>0</v>
      </c>
      <c r="AG19" s="48">
        <f t="shared" si="5"/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48">
        <f t="shared" si="6"/>
        <v>0</v>
      </c>
      <c r="AN19" s="35">
        <v>0</v>
      </c>
      <c r="AO19" s="7">
        <v>0</v>
      </c>
      <c r="AP19" s="7">
        <v>0</v>
      </c>
      <c r="AQ19" s="7">
        <v>0</v>
      </c>
      <c r="AR19" s="7">
        <v>0</v>
      </c>
      <c r="AS19" s="48">
        <f t="shared" si="7"/>
        <v>0</v>
      </c>
      <c r="AT19" s="7">
        <v>0.5</v>
      </c>
      <c r="AU19" s="7">
        <v>0</v>
      </c>
      <c r="AV19" s="7">
        <v>0</v>
      </c>
      <c r="AW19" s="7">
        <v>0</v>
      </c>
      <c r="AX19" s="7">
        <v>0</v>
      </c>
      <c r="AY19" s="48">
        <f t="shared" si="8"/>
        <v>0.1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48">
        <f t="shared" si="9"/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48">
        <f t="shared" si="10"/>
        <v>0</v>
      </c>
      <c r="BL19" s="55"/>
      <c r="BM19" s="7"/>
      <c r="BN19" s="7"/>
      <c r="BO19" s="7"/>
      <c r="BP19" s="7"/>
      <c r="BQ19" s="7"/>
      <c r="BR19" s="48">
        <f t="shared" si="11"/>
        <v>0</v>
      </c>
      <c r="BS19" s="7"/>
      <c r="BT19" s="7"/>
      <c r="BU19" s="7"/>
      <c r="BV19" s="7"/>
      <c r="BW19" s="7"/>
      <c r="BX19" s="48">
        <f>SUM(BS19:BW19)/5*15</f>
        <v>0</v>
      </c>
      <c r="BY19" s="7"/>
      <c r="BZ19" s="7"/>
      <c r="CA19" s="7"/>
      <c r="CB19" s="7"/>
      <c r="CC19" s="7"/>
      <c r="CD19" s="48">
        <f t="shared" si="13"/>
        <v>0</v>
      </c>
      <c r="CE19" s="7"/>
      <c r="CF19" s="7"/>
      <c r="CG19" s="7"/>
      <c r="CH19" s="7"/>
      <c r="CI19" s="7"/>
      <c r="CJ19" s="48">
        <f t="shared" si="14"/>
        <v>0</v>
      </c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</row>
    <row r="20" spans="1:118" ht="16" x14ac:dyDescent="0.2">
      <c r="A20" s="5" t="s">
        <v>643</v>
      </c>
      <c r="B20" s="5">
        <v>1</v>
      </c>
      <c r="C20" s="13" t="s">
        <v>642</v>
      </c>
      <c r="D20" s="5" t="s">
        <v>161</v>
      </c>
      <c r="E20" s="118"/>
      <c r="F20" s="119"/>
      <c r="G20" s="5">
        <v>1</v>
      </c>
      <c r="H20" s="5">
        <v>1</v>
      </c>
      <c r="I20" s="16">
        <f>_xlfn.XLOOKUP(C20,'[1]3V_CD'!$C:$C,'[1]3V_CD'!$I:$I,"NO ENCONTRADO")</f>
        <v>1</v>
      </c>
      <c r="J20" s="5">
        <v>1</v>
      </c>
      <c r="K20" s="96">
        <f t="shared" si="15"/>
        <v>100</v>
      </c>
      <c r="L20" s="30">
        <f t="shared" si="0"/>
        <v>70</v>
      </c>
      <c r="M20" s="33">
        <f t="shared" si="1"/>
        <v>100</v>
      </c>
      <c r="N20" s="33">
        <f t="shared" si="2"/>
        <v>112</v>
      </c>
      <c r="O20" s="57"/>
      <c r="P20" s="44">
        <v>1</v>
      </c>
      <c r="Q20" s="5">
        <v>1</v>
      </c>
      <c r="R20" s="5">
        <v>1</v>
      </c>
      <c r="S20" s="5">
        <v>1</v>
      </c>
      <c r="T20" s="5">
        <v>1</v>
      </c>
      <c r="U20" s="48">
        <f t="shared" si="3"/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48">
        <f t="shared" si="4"/>
        <v>1</v>
      </c>
      <c r="AB20" s="44">
        <v>1</v>
      </c>
      <c r="AC20" s="5">
        <v>1</v>
      </c>
      <c r="AD20" s="5">
        <v>1</v>
      </c>
      <c r="AE20" s="5">
        <v>1</v>
      </c>
      <c r="AF20" s="5">
        <v>1</v>
      </c>
      <c r="AG20" s="48">
        <f t="shared" si="5"/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48">
        <f t="shared" si="6"/>
        <v>1</v>
      </c>
      <c r="AN20" s="34">
        <v>1</v>
      </c>
      <c r="AO20" s="5">
        <v>1</v>
      </c>
      <c r="AP20" s="5">
        <v>1</v>
      </c>
      <c r="AQ20" s="5">
        <v>1</v>
      </c>
      <c r="AR20" s="5">
        <v>1</v>
      </c>
      <c r="AS20" s="48">
        <f t="shared" si="7"/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48">
        <f t="shared" si="8"/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48">
        <f t="shared" si="9"/>
        <v>1</v>
      </c>
      <c r="BF20" s="5">
        <v>1</v>
      </c>
      <c r="BG20" s="5">
        <v>1</v>
      </c>
      <c r="BH20" s="5">
        <v>1</v>
      </c>
      <c r="BI20" s="5">
        <v>0</v>
      </c>
      <c r="BJ20" s="5">
        <v>0</v>
      </c>
      <c r="BK20" s="48">
        <f t="shared" si="10"/>
        <v>0.6</v>
      </c>
      <c r="BL20" s="55"/>
      <c r="BM20" s="5"/>
      <c r="BN20" s="5"/>
      <c r="BO20" s="5"/>
      <c r="BP20" s="5"/>
      <c r="BQ20" s="5"/>
      <c r="BR20" s="48">
        <f t="shared" si="11"/>
        <v>0</v>
      </c>
      <c r="BS20" s="5"/>
      <c r="BT20" s="5"/>
      <c r="BU20" s="5"/>
      <c r="BV20" s="5"/>
      <c r="BW20" s="5"/>
      <c r="BX20" s="48">
        <f t="shared" si="12"/>
        <v>0</v>
      </c>
      <c r="BY20" s="5"/>
      <c r="BZ20" s="5"/>
      <c r="CA20" s="5"/>
      <c r="CB20" s="5"/>
      <c r="CC20" s="5"/>
      <c r="CD20" s="48">
        <f t="shared" si="13"/>
        <v>0</v>
      </c>
      <c r="CE20" s="5"/>
      <c r="CF20" s="5"/>
      <c r="CG20" s="5"/>
      <c r="CH20" s="5"/>
      <c r="CI20" s="5"/>
      <c r="CJ20" s="48">
        <f t="shared" si="14"/>
        <v>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</row>
    <row r="21" spans="1:118" ht="16" x14ac:dyDescent="0.2">
      <c r="A21" s="7" t="s">
        <v>641</v>
      </c>
      <c r="B21" s="7">
        <v>1</v>
      </c>
      <c r="C21" s="14" t="s">
        <v>640</v>
      </c>
      <c r="D21" s="7" t="s">
        <v>161</v>
      </c>
      <c r="E21" s="118"/>
      <c r="F21" s="119"/>
      <c r="G21" s="7">
        <v>1</v>
      </c>
      <c r="H21" s="7">
        <v>1</v>
      </c>
      <c r="I21" s="16">
        <f>_xlfn.XLOOKUP(C21,'[1]3V_CD'!$C:$C,'[1]3V_CD'!$I:$I,"NO ENCONTRADO")</f>
        <v>1</v>
      </c>
      <c r="J21" s="7">
        <v>1</v>
      </c>
      <c r="K21" s="96">
        <f t="shared" si="15"/>
        <v>100</v>
      </c>
      <c r="L21" s="30">
        <f t="shared" si="0"/>
        <v>70</v>
      </c>
      <c r="M21" s="33">
        <f t="shared" si="1"/>
        <v>100</v>
      </c>
      <c r="N21" s="33">
        <f t="shared" si="2"/>
        <v>104.80000000000001</v>
      </c>
      <c r="O21" s="57"/>
      <c r="P21" s="45">
        <v>1</v>
      </c>
      <c r="Q21" s="7">
        <v>1</v>
      </c>
      <c r="R21" s="7">
        <v>1</v>
      </c>
      <c r="S21" s="7">
        <v>1</v>
      </c>
      <c r="T21" s="7">
        <v>1</v>
      </c>
      <c r="U21" s="48">
        <f t="shared" si="3"/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48">
        <f t="shared" si="4"/>
        <v>1</v>
      </c>
      <c r="AB21" s="45">
        <v>1</v>
      </c>
      <c r="AC21" s="7">
        <v>1</v>
      </c>
      <c r="AD21" s="7">
        <v>1</v>
      </c>
      <c r="AE21" s="7">
        <v>1</v>
      </c>
      <c r="AF21" s="7">
        <v>1</v>
      </c>
      <c r="AG21" s="48">
        <f t="shared" si="5"/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48">
        <f t="shared" si="6"/>
        <v>1</v>
      </c>
      <c r="AN21" s="35">
        <v>1</v>
      </c>
      <c r="AO21" s="7">
        <v>1</v>
      </c>
      <c r="AP21" s="7">
        <v>1</v>
      </c>
      <c r="AQ21" s="7">
        <v>1</v>
      </c>
      <c r="AR21" s="7">
        <v>1</v>
      </c>
      <c r="AS21" s="48">
        <f t="shared" si="7"/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48">
        <f t="shared" si="8"/>
        <v>1</v>
      </c>
      <c r="AZ21" s="7">
        <v>0.8</v>
      </c>
      <c r="BA21" s="7">
        <v>0.8</v>
      </c>
      <c r="BB21" s="7">
        <v>0.5</v>
      </c>
      <c r="BC21" s="7">
        <v>0.5</v>
      </c>
      <c r="BD21" s="7">
        <v>0.5</v>
      </c>
      <c r="BE21" s="48">
        <f t="shared" si="9"/>
        <v>0.62</v>
      </c>
      <c r="BF21" s="7">
        <v>0.8</v>
      </c>
      <c r="BG21" s="7">
        <v>0.8</v>
      </c>
      <c r="BH21" s="7">
        <v>0.5</v>
      </c>
      <c r="BI21" s="7">
        <v>0.5</v>
      </c>
      <c r="BJ21" s="7">
        <v>0.5</v>
      </c>
      <c r="BK21" s="48">
        <f t="shared" si="10"/>
        <v>0.62</v>
      </c>
      <c r="BL21" s="55"/>
      <c r="BM21" s="7"/>
      <c r="BN21" s="7"/>
      <c r="BO21" s="7"/>
      <c r="BP21" s="7"/>
      <c r="BQ21" s="7"/>
      <c r="BR21" s="48">
        <f t="shared" si="11"/>
        <v>0</v>
      </c>
      <c r="BS21" s="7"/>
      <c r="BT21" s="7"/>
      <c r="BU21" s="7"/>
      <c r="BV21" s="7"/>
      <c r="BW21" s="7"/>
      <c r="BX21" s="48">
        <f t="shared" si="12"/>
        <v>0</v>
      </c>
      <c r="BY21" s="7"/>
      <c r="BZ21" s="7"/>
      <c r="CA21" s="7"/>
      <c r="CB21" s="7"/>
      <c r="CC21" s="7"/>
      <c r="CD21" s="48">
        <f t="shared" si="13"/>
        <v>0</v>
      </c>
      <c r="CE21" s="7"/>
      <c r="CF21" s="7"/>
      <c r="CG21" s="7"/>
      <c r="CH21" s="7"/>
      <c r="CI21" s="7"/>
      <c r="CJ21" s="48">
        <f t="shared" si="14"/>
        <v>0</v>
      </c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</row>
    <row r="22" spans="1:118" s="70" customFormat="1" ht="16" x14ac:dyDescent="0.2">
      <c r="A22" s="61" t="s">
        <v>639</v>
      </c>
      <c r="B22" s="61">
        <v>1</v>
      </c>
      <c r="C22" s="62" t="s">
        <v>638</v>
      </c>
      <c r="D22" s="61" t="s">
        <v>161</v>
      </c>
      <c r="E22" s="118"/>
      <c r="F22" s="119"/>
      <c r="G22" s="61"/>
      <c r="H22" s="61"/>
      <c r="I22" s="61"/>
      <c r="J22" s="61"/>
      <c r="K22" s="96"/>
      <c r="L22" s="63" t="e">
        <f t="shared" si="0"/>
        <v>#DIV/0!</v>
      </c>
      <c r="M22" s="64" t="e">
        <f t="shared" si="1"/>
        <v>#DIV/0!</v>
      </c>
      <c r="N22" s="64" t="e">
        <f t="shared" si="2"/>
        <v>#DIV/0!</v>
      </c>
      <c r="O22" s="65"/>
      <c r="P22" s="66"/>
      <c r="Q22" s="61"/>
      <c r="R22" s="61"/>
      <c r="S22" s="61"/>
      <c r="T22" s="61"/>
      <c r="U22" s="67" t="e">
        <f t="shared" si="3"/>
        <v>#DIV/0!</v>
      </c>
      <c r="V22" s="61"/>
      <c r="W22" s="61"/>
      <c r="X22" s="61"/>
      <c r="Y22" s="61"/>
      <c r="Z22" s="61"/>
      <c r="AA22" s="67" t="e">
        <f t="shared" si="4"/>
        <v>#DIV/0!</v>
      </c>
      <c r="AB22" s="66"/>
      <c r="AC22" s="61"/>
      <c r="AD22" s="61"/>
      <c r="AE22" s="61"/>
      <c r="AF22" s="61"/>
      <c r="AG22" s="67" t="e">
        <f t="shared" si="5"/>
        <v>#DIV/0!</v>
      </c>
      <c r="AH22" s="61"/>
      <c r="AI22" s="61"/>
      <c r="AJ22" s="61"/>
      <c r="AK22" s="61"/>
      <c r="AL22" s="61"/>
      <c r="AM22" s="67" t="e">
        <f t="shared" si="6"/>
        <v>#DIV/0!</v>
      </c>
      <c r="AN22" s="68"/>
      <c r="AO22" s="61"/>
      <c r="AP22" s="61"/>
      <c r="AQ22" s="61"/>
      <c r="AR22" s="61"/>
      <c r="AS22" s="67" t="e">
        <f t="shared" si="7"/>
        <v>#DIV/0!</v>
      </c>
      <c r="AT22" s="61"/>
      <c r="AU22" s="61"/>
      <c r="AV22" s="61"/>
      <c r="AW22" s="61"/>
      <c r="AX22" s="61"/>
      <c r="AY22" s="67" t="e">
        <f t="shared" si="8"/>
        <v>#DIV/0!</v>
      </c>
      <c r="AZ22" s="61"/>
      <c r="BA22" s="61"/>
      <c r="BB22" s="61"/>
      <c r="BC22" s="61"/>
      <c r="BD22" s="61"/>
      <c r="BE22" s="67" t="e">
        <f t="shared" si="9"/>
        <v>#DIV/0!</v>
      </c>
      <c r="BF22" s="61"/>
      <c r="BG22" s="61"/>
      <c r="BH22" s="61"/>
      <c r="BI22" s="61"/>
      <c r="BJ22" s="61"/>
      <c r="BK22" s="67" t="e">
        <f t="shared" si="10"/>
        <v>#DIV/0!</v>
      </c>
      <c r="BL22" s="69"/>
      <c r="BM22" s="61"/>
      <c r="BN22" s="61"/>
      <c r="BO22" s="61"/>
      <c r="BP22" s="61"/>
      <c r="BQ22" s="61"/>
      <c r="BR22" s="67">
        <f t="shared" si="11"/>
        <v>0</v>
      </c>
      <c r="BS22" s="61"/>
      <c r="BT22" s="61"/>
      <c r="BU22" s="61"/>
      <c r="BV22" s="61"/>
      <c r="BW22" s="61"/>
      <c r="BX22" s="67">
        <f t="shared" si="12"/>
        <v>0</v>
      </c>
      <c r="BY22" s="61"/>
      <c r="BZ22" s="61"/>
      <c r="CA22" s="61"/>
      <c r="CB22" s="61"/>
      <c r="CC22" s="61"/>
      <c r="CD22" s="67">
        <f t="shared" si="13"/>
        <v>0</v>
      </c>
      <c r="CE22" s="61"/>
      <c r="CF22" s="61"/>
      <c r="CG22" s="61"/>
      <c r="CH22" s="61"/>
      <c r="CI22" s="61"/>
      <c r="CJ22" s="67">
        <f t="shared" si="14"/>
        <v>0</v>
      </c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</row>
    <row r="23" spans="1:118" ht="16" x14ac:dyDescent="0.2">
      <c r="A23" s="7" t="s">
        <v>637</v>
      </c>
      <c r="B23" s="7">
        <v>1</v>
      </c>
      <c r="C23" s="14" t="s">
        <v>636</v>
      </c>
      <c r="D23" s="7" t="s">
        <v>161</v>
      </c>
      <c r="E23" s="118"/>
      <c r="F23" s="119"/>
      <c r="G23" s="7">
        <v>1</v>
      </c>
      <c r="H23" s="7">
        <v>1</v>
      </c>
      <c r="I23" s="16">
        <f>_xlfn.XLOOKUP(C23,'[1]3V_CD'!$C:$C,'[1]3V_CD'!$I:$I,"NO ENCONTRADO")</f>
        <v>1</v>
      </c>
      <c r="J23" s="7">
        <v>1</v>
      </c>
      <c r="K23" s="96">
        <f t="shared" si="15"/>
        <v>100</v>
      </c>
      <c r="L23" s="30">
        <f t="shared" si="0"/>
        <v>70</v>
      </c>
      <c r="M23" s="33">
        <f t="shared" si="1"/>
        <v>100</v>
      </c>
      <c r="N23" s="33">
        <f t="shared" si="2"/>
        <v>135</v>
      </c>
      <c r="O23" s="57">
        <v>15</v>
      </c>
      <c r="P23" s="45">
        <v>1</v>
      </c>
      <c r="Q23" s="7">
        <v>1</v>
      </c>
      <c r="R23" s="7">
        <v>1</v>
      </c>
      <c r="S23" s="7">
        <v>1</v>
      </c>
      <c r="T23" s="7">
        <v>1</v>
      </c>
      <c r="U23" s="48">
        <f t="shared" si="3"/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48">
        <f t="shared" si="4"/>
        <v>1</v>
      </c>
      <c r="AB23" s="45">
        <v>1</v>
      </c>
      <c r="AC23" s="7">
        <v>1</v>
      </c>
      <c r="AD23" s="7">
        <v>1</v>
      </c>
      <c r="AE23" s="7">
        <v>1</v>
      </c>
      <c r="AF23" s="7">
        <v>1</v>
      </c>
      <c r="AG23" s="48">
        <f t="shared" si="5"/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48">
        <f t="shared" si="6"/>
        <v>1</v>
      </c>
      <c r="AN23" s="35">
        <v>1</v>
      </c>
      <c r="AO23" s="7">
        <v>1</v>
      </c>
      <c r="AP23" s="7">
        <v>1</v>
      </c>
      <c r="AQ23" s="7">
        <v>1</v>
      </c>
      <c r="AR23" s="7">
        <v>1</v>
      </c>
      <c r="AS23" s="48">
        <f t="shared" si="7"/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48">
        <f t="shared" si="8"/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48">
        <f t="shared" si="9"/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48">
        <f t="shared" si="10"/>
        <v>1</v>
      </c>
      <c r="BL23" s="55"/>
      <c r="BM23" s="7"/>
      <c r="BN23" s="7"/>
      <c r="BO23" s="7"/>
      <c r="BP23" s="7"/>
      <c r="BQ23" s="7"/>
      <c r="BR23" s="48">
        <f t="shared" si="11"/>
        <v>0</v>
      </c>
      <c r="BS23" s="7"/>
      <c r="BT23" s="7"/>
      <c r="BU23" s="7"/>
      <c r="BV23" s="7"/>
      <c r="BW23" s="7"/>
      <c r="BX23" s="48">
        <f t="shared" si="12"/>
        <v>0</v>
      </c>
      <c r="BY23" s="7"/>
      <c r="BZ23" s="7"/>
      <c r="CA23" s="7"/>
      <c r="CB23" s="7"/>
      <c r="CC23" s="7"/>
      <c r="CD23" s="48">
        <f t="shared" si="13"/>
        <v>0</v>
      </c>
      <c r="CE23" s="7"/>
      <c r="CF23" s="7"/>
      <c r="CG23" s="7"/>
      <c r="CH23" s="7"/>
      <c r="CI23" s="7"/>
      <c r="CJ23" s="48">
        <f t="shared" si="14"/>
        <v>0</v>
      </c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</row>
    <row r="24" spans="1:118" ht="16" x14ac:dyDescent="0.2">
      <c r="A24" s="5" t="s">
        <v>635</v>
      </c>
      <c r="B24" s="5">
        <v>1</v>
      </c>
      <c r="C24" s="13" t="s">
        <v>634</v>
      </c>
      <c r="D24" s="5" t="s">
        <v>161</v>
      </c>
      <c r="E24" s="118"/>
      <c r="F24" s="119"/>
      <c r="G24" s="5">
        <v>1</v>
      </c>
      <c r="H24" s="5">
        <v>1</v>
      </c>
      <c r="I24" s="16">
        <f>_xlfn.XLOOKUP(C24,'[1]3V_CD'!$C:$C,'[1]3V_CD'!$I:$I,"NO ENCONTRADO")</f>
        <v>1</v>
      </c>
      <c r="J24" s="5">
        <v>1</v>
      </c>
      <c r="K24" s="96">
        <f t="shared" si="15"/>
        <v>100</v>
      </c>
      <c r="L24" s="30">
        <f t="shared" si="0"/>
        <v>70</v>
      </c>
      <c r="M24" s="33">
        <f t="shared" si="1"/>
        <v>100</v>
      </c>
      <c r="N24" s="33">
        <f t="shared" si="2"/>
        <v>100</v>
      </c>
      <c r="O24" s="57"/>
      <c r="P24" s="44">
        <v>1</v>
      </c>
      <c r="Q24" s="5">
        <v>1</v>
      </c>
      <c r="R24" s="5">
        <v>1</v>
      </c>
      <c r="S24" s="5">
        <v>1</v>
      </c>
      <c r="T24" s="5">
        <v>1</v>
      </c>
      <c r="U24" s="48">
        <f t="shared" si="3"/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48">
        <f t="shared" si="4"/>
        <v>1</v>
      </c>
      <c r="AB24" s="44">
        <v>1</v>
      </c>
      <c r="AC24" s="5">
        <v>1</v>
      </c>
      <c r="AD24" s="5">
        <v>1</v>
      </c>
      <c r="AE24" s="5">
        <v>1</v>
      </c>
      <c r="AF24" s="5">
        <v>1</v>
      </c>
      <c r="AG24" s="48">
        <f t="shared" si="5"/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48">
        <f t="shared" si="6"/>
        <v>1</v>
      </c>
      <c r="AN24" s="34">
        <v>1</v>
      </c>
      <c r="AO24" s="5">
        <v>1</v>
      </c>
      <c r="AP24" s="5">
        <v>1</v>
      </c>
      <c r="AQ24" s="5">
        <v>1</v>
      </c>
      <c r="AR24" s="5">
        <v>1</v>
      </c>
      <c r="AS24" s="48">
        <f t="shared" si="7"/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48">
        <f t="shared" si="8"/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48">
        <f t="shared" si="9"/>
        <v>1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48">
        <f t="shared" si="10"/>
        <v>0</v>
      </c>
      <c r="BL24" s="55"/>
      <c r="BM24" s="5"/>
      <c r="BN24" s="5"/>
      <c r="BO24" s="5"/>
      <c r="BP24" s="5"/>
      <c r="BQ24" s="5"/>
      <c r="BR24" s="48">
        <f t="shared" si="11"/>
        <v>0</v>
      </c>
      <c r="BS24" s="5"/>
      <c r="BT24" s="5"/>
      <c r="BU24" s="5"/>
      <c r="BV24" s="5"/>
      <c r="BW24" s="5"/>
      <c r="BX24" s="48">
        <f t="shared" si="12"/>
        <v>0</v>
      </c>
      <c r="BY24" s="5"/>
      <c r="BZ24" s="5"/>
      <c r="CA24" s="5"/>
      <c r="CB24" s="5"/>
      <c r="CC24" s="5"/>
      <c r="CD24" s="48">
        <f t="shared" si="13"/>
        <v>0</v>
      </c>
      <c r="CE24" s="5"/>
      <c r="CF24" s="5"/>
      <c r="CG24" s="5"/>
      <c r="CH24" s="5"/>
      <c r="CI24" s="5"/>
      <c r="CJ24" s="48">
        <f t="shared" si="14"/>
        <v>0</v>
      </c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</row>
    <row r="25" spans="1:118" ht="16" x14ac:dyDescent="0.2">
      <c r="A25" s="7" t="s">
        <v>633</v>
      </c>
      <c r="B25" s="7">
        <v>1</v>
      </c>
      <c r="C25" s="14" t="s">
        <v>632</v>
      </c>
      <c r="D25" s="7" t="s">
        <v>161</v>
      </c>
      <c r="E25" s="118"/>
      <c r="F25" s="119"/>
      <c r="G25" s="7">
        <v>1</v>
      </c>
      <c r="H25" s="7">
        <v>1</v>
      </c>
      <c r="I25" s="16">
        <f>_xlfn.XLOOKUP(C25,'[1]3V_CD'!$C:$C,'[1]3V_CD'!$I:$I,"NO ENCONTRADO")</f>
        <v>1</v>
      </c>
      <c r="J25" s="7">
        <v>1</v>
      </c>
      <c r="K25" s="96">
        <f t="shared" si="15"/>
        <v>93</v>
      </c>
      <c r="L25" s="30">
        <f t="shared" si="0"/>
        <v>62.999999999999993</v>
      </c>
      <c r="M25" s="33">
        <f t="shared" si="1"/>
        <v>90</v>
      </c>
      <c r="N25" s="33">
        <f t="shared" si="2"/>
        <v>90</v>
      </c>
      <c r="O25" s="57">
        <v>17</v>
      </c>
      <c r="P25" s="45">
        <v>1</v>
      </c>
      <c r="Q25" s="7">
        <v>1</v>
      </c>
      <c r="R25" s="7">
        <v>1</v>
      </c>
      <c r="S25" s="7">
        <v>1</v>
      </c>
      <c r="T25" s="7">
        <v>1</v>
      </c>
      <c r="U25" s="48">
        <f t="shared" si="3"/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48">
        <f t="shared" si="4"/>
        <v>1</v>
      </c>
      <c r="AB25" s="45">
        <v>1</v>
      </c>
      <c r="AC25" s="7">
        <v>1</v>
      </c>
      <c r="AD25" s="7">
        <v>1</v>
      </c>
      <c r="AE25" s="7">
        <v>1</v>
      </c>
      <c r="AF25" s="7">
        <v>1</v>
      </c>
      <c r="AG25" s="48">
        <f t="shared" si="5"/>
        <v>1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48">
        <f t="shared" si="6"/>
        <v>0</v>
      </c>
      <c r="AN25" s="35">
        <v>1</v>
      </c>
      <c r="AO25" s="7">
        <v>1</v>
      </c>
      <c r="AP25" s="7">
        <v>1</v>
      </c>
      <c r="AQ25" s="7">
        <v>1</v>
      </c>
      <c r="AR25" s="7">
        <v>1</v>
      </c>
      <c r="AS25" s="48">
        <f t="shared" si="7"/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48">
        <f t="shared" si="8"/>
        <v>1</v>
      </c>
      <c r="AZ25" s="7">
        <v>1</v>
      </c>
      <c r="BA25" s="7">
        <v>0.25</v>
      </c>
      <c r="BB25" s="7">
        <v>0.25</v>
      </c>
      <c r="BC25" s="7">
        <v>0.25</v>
      </c>
      <c r="BD25" s="7">
        <v>0.25</v>
      </c>
      <c r="BE25" s="48">
        <f t="shared" si="9"/>
        <v>0.4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48">
        <f t="shared" si="10"/>
        <v>0</v>
      </c>
      <c r="BL25" s="55"/>
      <c r="BM25" s="7"/>
      <c r="BN25" s="7"/>
      <c r="BO25" s="7"/>
      <c r="BP25" s="7"/>
      <c r="BQ25" s="7"/>
      <c r="BR25" s="48">
        <f t="shared" si="11"/>
        <v>0</v>
      </c>
      <c r="BS25" s="7"/>
      <c r="BT25" s="7"/>
      <c r="BU25" s="7"/>
      <c r="BV25" s="7"/>
      <c r="BW25" s="7"/>
      <c r="BX25" s="48">
        <f t="shared" si="12"/>
        <v>0</v>
      </c>
      <c r="BY25" s="7"/>
      <c r="BZ25" s="7"/>
      <c r="CA25" s="7"/>
      <c r="CB25" s="7"/>
      <c r="CC25" s="7"/>
      <c r="CD25" s="48">
        <f t="shared" si="13"/>
        <v>0</v>
      </c>
      <c r="CE25" s="7"/>
      <c r="CF25" s="7"/>
      <c r="CG25" s="7"/>
      <c r="CH25" s="7"/>
      <c r="CI25" s="7"/>
      <c r="CJ25" s="48">
        <f t="shared" si="14"/>
        <v>0</v>
      </c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</row>
    <row r="26" spans="1:118" ht="16" x14ac:dyDescent="0.2">
      <c r="A26" s="5" t="s">
        <v>631</v>
      </c>
      <c r="B26" s="5">
        <v>1</v>
      </c>
      <c r="C26" s="13" t="s">
        <v>630</v>
      </c>
      <c r="D26" s="5" t="s">
        <v>161</v>
      </c>
      <c r="E26" s="120"/>
      <c r="F26" s="121"/>
      <c r="G26" s="5">
        <v>1</v>
      </c>
      <c r="H26" s="5">
        <v>1</v>
      </c>
      <c r="I26" s="16">
        <f>_xlfn.XLOOKUP(C26,'[1]3V_CD'!$C:$C,'[1]3V_CD'!$I:$I,"NO ENCONTRADO")</f>
        <v>1</v>
      </c>
      <c r="J26" s="5">
        <v>1</v>
      </c>
      <c r="K26" s="96">
        <f t="shared" si="15"/>
        <v>100</v>
      </c>
      <c r="L26" s="30">
        <f t="shared" si="0"/>
        <v>70</v>
      </c>
      <c r="M26" s="33">
        <f t="shared" si="1"/>
        <v>100</v>
      </c>
      <c r="N26" s="33">
        <f t="shared" si="2"/>
        <v>118.4</v>
      </c>
      <c r="O26" s="57"/>
      <c r="P26" s="44">
        <v>1</v>
      </c>
      <c r="Q26" s="5">
        <v>1</v>
      </c>
      <c r="R26" s="5">
        <v>1</v>
      </c>
      <c r="S26" s="5">
        <v>1</v>
      </c>
      <c r="T26" s="5">
        <v>1</v>
      </c>
      <c r="U26" s="48">
        <f t="shared" si="3"/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48">
        <f t="shared" si="4"/>
        <v>1</v>
      </c>
      <c r="AB26" s="44">
        <v>1</v>
      </c>
      <c r="AC26" s="5">
        <v>1</v>
      </c>
      <c r="AD26" s="5">
        <v>1</v>
      </c>
      <c r="AE26" s="5">
        <v>1</v>
      </c>
      <c r="AF26" s="5">
        <v>1</v>
      </c>
      <c r="AG26" s="48">
        <f t="shared" si="5"/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48">
        <f t="shared" si="6"/>
        <v>1</v>
      </c>
      <c r="AN26" s="34">
        <v>1</v>
      </c>
      <c r="AO26" s="5">
        <v>1</v>
      </c>
      <c r="AP26" s="5">
        <v>1</v>
      </c>
      <c r="AQ26" s="5">
        <v>1</v>
      </c>
      <c r="AR26" s="5">
        <v>1</v>
      </c>
      <c r="AS26" s="48">
        <f t="shared" si="7"/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48">
        <f t="shared" si="8"/>
        <v>1</v>
      </c>
      <c r="AZ26" s="5">
        <v>0.8</v>
      </c>
      <c r="BA26" s="5">
        <v>1</v>
      </c>
      <c r="BB26" s="5">
        <v>1</v>
      </c>
      <c r="BC26" s="5">
        <v>1</v>
      </c>
      <c r="BD26" s="5">
        <v>1</v>
      </c>
      <c r="BE26" s="48">
        <f t="shared" si="9"/>
        <v>0.96</v>
      </c>
      <c r="BF26" s="5">
        <v>0.8</v>
      </c>
      <c r="BG26" s="5">
        <v>1</v>
      </c>
      <c r="BH26" s="5">
        <v>1</v>
      </c>
      <c r="BI26" s="5">
        <v>1</v>
      </c>
      <c r="BJ26" s="5">
        <v>1</v>
      </c>
      <c r="BK26" s="48">
        <f t="shared" si="10"/>
        <v>0.96</v>
      </c>
      <c r="BL26" s="55"/>
      <c r="BM26" s="5"/>
      <c r="BN26" s="5"/>
      <c r="BO26" s="5"/>
      <c r="BP26" s="5"/>
      <c r="BQ26" s="5"/>
      <c r="BR26" s="48">
        <f t="shared" si="11"/>
        <v>0</v>
      </c>
      <c r="BS26" s="5"/>
      <c r="BT26" s="5"/>
      <c r="BU26" s="5"/>
      <c r="BV26" s="5"/>
      <c r="BW26" s="5"/>
      <c r="BX26" s="48">
        <f t="shared" si="12"/>
        <v>0</v>
      </c>
      <c r="BY26" s="5"/>
      <c r="BZ26" s="5"/>
      <c r="CA26" s="5"/>
      <c r="CB26" s="5"/>
      <c r="CC26" s="5"/>
      <c r="CD26" s="48">
        <f t="shared" si="13"/>
        <v>0</v>
      </c>
      <c r="CE26" s="5"/>
      <c r="CF26" s="5"/>
      <c r="CG26" s="5"/>
      <c r="CH26" s="5"/>
      <c r="CI26" s="5"/>
      <c r="CJ26" s="48">
        <f t="shared" si="14"/>
        <v>0</v>
      </c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</row>
  </sheetData>
  <mergeCells count="17">
    <mergeCell ref="AZ1:BE1"/>
    <mergeCell ref="BF1:BK1"/>
    <mergeCell ref="AH2:AM2"/>
    <mergeCell ref="AN2:AS2"/>
    <mergeCell ref="AT2:AY2"/>
    <mergeCell ref="AZ2:BE2"/>
    <mergeCell ref="BF2:BK2"/>
    <mergeCell ref="AB1:AG1"/>
    <mergeCell ref="AB2:AG2"/>
    <mergeCell ref="AH1:AM1"/>
    <mergeCell ref="AN1:AS1"/>
    <mergeCell ref="AT1:AY1"/>
    <mergeCell ref="E4:F26"/>
    <mergeCell ref="P2:U2"/>
    <mergeCell ref="V2:AA2"/>
    <mergeCell ref="Q1:U1"/>
    <mergeCell ref="V1:AA1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1:AP38"/>
  <sheetViews>
    <sheetView workbookViewId="0">
      <pane ySplit="2" topLeftCell="A3" activePane="bottomLeft" state="frozen"/>
      <selection pane="bottomLeft" activeCell="A2" sqref="A2:XFD5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1.1640625" style="15" bestFit="1" customWidth="1"/>
    <col min="4" max="4" width="8.33203125" style="4" bestFit="1" customWidth="1"/>
    <col min="5" max="5" width="36.5" style="4" hidden="1" customWidth="1"/>
    <col min="6" max="6" width="42.5" style="4" hidden="1" customWidth="1"/>
    <col min="7" max="16384" width="8.83203125" style="4"/>
  </cols>
  <sheetData>
    <row r="1" spans="1:42" x14ac:dyDescent="0.2">
      <c r="A1" s="23" t="s">
        <v>746</v>
      </c>
      <c r="C1" s="4" t="s">
        <v>441</v>
      </c>
    </row>
    <row r="2" spans="1:42" x14ac:dyDescent="0.2">
      <c r="A2" s="9" t="s">
        <v>1</v>
      </c>
      <c r="B2" s="9" t="s">
        <v>2</v>
      </c>
      <c r="C2" s="12" t="s">
        <v>3</v>
      </c>
      <c r="D2" s="9" t="s">
        <v>747</v>
      </c>
      <c r="E2" s="9" t="s">
        <v>5</v>
      </c>
      <c r="F2" s="9" t="s">
        <v>6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</row>
    <row r="3" spans="1:42" x14ac:dyDescent="0.2">
      <c r="A3" s="5" t="s">
        <v>440</v>
      </c>
      <c r="B3" s="5">
        <v>1</v>
      </c>
      <c r="C3" s="13" t="s">
        <v>439</v>
      </c>
      <c r="D3" s="5" t="s">
        <v>154</v>
      </c>
      <c r="E3" s="6" t="s">
        <v>438</v>
      </c>
      <c r="F3" s="5" t="s">
        <v>437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">
      <c r="A4" s="7" t="s">
        <v>436</v>
      </c>
      <c r="B4" s="7">
        <v>1</v>
      </c>
      <c r="C4" s="14" t="s">
        <v>435</v>
      </c>
      <c r="D4" s="7" t="s">
        <v>154</v>
      </c>
      <c r="E4" s="8" t="s">
        <v>434</v>
      </c>
      <c r="F4" s="7" t="s">
        <v>433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spans="1:42" x14ac:dyDescent="0.2">
      <c r="A5" s="5" t="s">
        <v>432</v>
      </c>
      <c r="B5" s="5">
        <v>1</v>
      </c>
      <c r="C5" s="13" t="s">
        <v>431</v>
      </c>
      <c r="D5" s="5" t="s">
        <v>154</v>
      </c>
      <c r="E5" s="6" t="s">
        <v>430</v>
      </c>
      <c r="F5" s="5" t="s">
        <v>429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">
      <c r="A6" s="7" t="s">
        <v>428</v>
      </c>
      <c r="B6" s="7">
        <v>1</v>
      </c>
      <c r="C6" s="14" t="s">
        <v>427</v>
      </c>
      <c r="D6" s="7" t="s">
        <v>154</v>
      </c>
      <c r="E6" s="8" t="s">
        <v>426</v>
      </c>
      <c r="F6" s="7" t="s">
        <v>425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">
      <c r="A7" s="5" t="s">
        <v>424</v>
      </c>
      <c r="B7" s="5">
        <v>1</v>
      </c>
      <c r="C7" s="13" t="s">
        <v>423</v>
      </c>
      <c r="D7" s="5" t="s">
        <v>154</v>
      </c>
      <c r="E7" s="6" t="s">
        <v>422</v>
      </c>
      <c r="F7" s="5" t="s">
        <v>421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2" x14ac:dyDescent="0.2">
      <c r="A8" s="7" t="s">
        <v>420</v>
      </c>
      <c r="B8" s="7">
        <v>1</v>
      </c>
      <c r="C8" s="14" t="s">
        <v>419</v>
      </c>
      <c r="D8" s="7" t="s">
        <v>154</v>
      </c>
      <c r="E8" s="8" t="s">
        <v>418</v>
      </c>
      <c r="F8" s="7" t="s">
        <v>417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spans="1:42" x14ac:dyDescent="0.2">
      <c r="A9" s="5" t="s">
        <v>416</v>
      </c>
      <c r="B9" s="5">
        <v>1</v>
      </c>
      <c r="C9" s="13" t="s">
        <v>415</v>
      </c>
      <c r="D9" s="5" t="s">
        <v>154</v>
      </c>
      <c r="E9" s="6" t="s">
        <v>414</v>
      </c>
      <c r="F9" s="5" t="s">
        <v>413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2" x14ac:dyDescent="0.2">
      <c r="A10" s="7" t="s">
        <v>412</v>
      </c>
      <c r="B10" s="7">
        <v>1</v>
      </c>
      <c r="C10" s="14" t="s">
        <v>411</v>
      </c>
      <c r="D10" s="7" t="s">
        <v>154</v>
      </c>
      <c r="E10" s="8" t="s">
        <v>410</v>
      </c>
      <c r="F10" s="7" t="s">
        <v>409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x14ac:dyDescent="0.2">
      <c r="A11" s="5" t="s">
        <v>408</v>
      </c>
      <c r="B11" s="5">
        <v>1</v>
      </c>
      <c r="C11" s="13" t="s">
        <v>407</v>
      </c>
      <c r="D11" s="5" t="s">
        <v>154</v>
      </c>
      <c r="E11" s="6" t="s">
        <v>406</v>
      </c>
      <c r="F11" s="5" t="s">
        <v>405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2" x14ac:dyDescent="0.2">
      <c r="A12" s="7" t="s">
        <v>404</v>
      </c>
      <c r="B12" s="7">
        <v>1</v>
      </c>
      <c r="C12" s="14" t="s">
        <v>403</v>
      </c>
      <c r="D12" s="7" t="s">
        <v>154</v>
      </c>
      <c r="E12" s="8" t="s">
        <v>402</v>
      </c>
      <c r="F12" s="7" t="s">
        <v>401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">
      <c r="A13" s="5" t="s">
        <v>400</v>
      </c>
      <c r="B13" s="5">
        <v>1</v>
      </c>
      <c r="C13" s="13" t="s">
        <v>399</v>
      </c>
      <c r="D13" s="5" t="s">
        <v>154</v>
      </c>
      <c r="E13" s="6" t="s">
        <v>398</v>
      </c>
      <c r="F13" s="5" t="s">
        <v>397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2" x14ac:dyDescent="0.2">
      <c r="A14" s="7" t="s">
        <v>396</v>
      </c>
      <c r="B14" s="7">
        <v>1</v>
      </c>
      <c r="C14" s="14" t="s">
        <v>395</v>
      </c>
      <c r="D14" s="7" t="s">
        <v>154</v>
      </c>
      <c r="E14" s="8" t="s">
        <v>394</v>
      </c>
      <c r="F14" s="7" t="s">
        <v>393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">
      <c r="A15" s="5" t="s">
        <v>392</v>
      </c>
      <c r="B15" s="5">
        <v>1</v>
      </c>
      <c r="C15" s="13" t="s">
        <v>391</v>
      </c>
      <c r="D15" s="5" t="s">
        <v>154</v>
      </c>
      <c r="E15" s="6" t="s">
        <v>390</v>
      </c>
      <c r="F15" s="5" t="s">
        <v>389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2" x14ac:dyDescent="0.2">
      <c r="A16" s="7" t="s">
        <v>388</v>
      </c>
      <c r="B16" s="7">
        <v>1</v>
      </c>
      <c r="C16" s="14" t="s">
        <v>387</v>
      </c>
      <c r="D16" s="7" t="s">
        <v>154</v>
      </c>
      <c r="E16" s="8" t="s">
        <v>386</v>
      </c>
      <c r="F16" s="7" t="s">
        <v>385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">
      <c r="A17" s="5" t="s">
        <v>384</v>
      </c>
      <c r="B17" s="5">
        <v>1</v>
      </c>
      <c r="C17" s="13" t="s">
        <v>383</v>
      </c>
      <c r="D17" s="5" t="s">
        <v>154</v>
      </c>
      <c r="E17" s="6" t="s">
        <v>382</v>
      </c>
      <c r="F17" s="5" t="s">
        <v>381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x14ac:dyDescent="0.2">
      <c r="A18" s="7" t="s">
        <v>380</v>
      </c>
      <c r="B18" s="7">
        <v>1</v>
      </c>
      <c r="C18" s="14" t="s">
        <v>379</v>
      </c>
      <c r="D18" s="7" t="s">
        <v>154</v>
      </c>
      <c r="E18" s="8" t="s">
        <v>378</v>
      </c>
      <c r="F18" s="7" t="s">
        <v>377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">
      <c r="A19" s="5" t="s">
        <v>376</v>
      </c>
      <c r="B19" s="5">
        <v>1</v>
      </c>
      <c r="C19" s="13" t="s">
        <v>375</v>
      </c>
      <c r="D19" s="5" t="s">
        <v>154</v>
      </c>
      <c r="E19" s="6" t="s">
        <v>374</v>
      </c>
      <c r="F19" s="5" t="s">
        <v>373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x14ac:dyDescent="0.2">
      <c r="A20" s="7" t="s">
        <v>372</v>
      </c>
      <c r="B20" s="7">
        <v>1</v>
      </c>
      <c r="C20" s="14" t="s">
        <v>371</v>
      </c>
      <c r="D20" s="7" t="s">
        <v>154</v>
      </c>
      <c r="E20" s="8" t="s">
        <v>370</v>
      </c>
      <c r="F20" s="7" t="s">
        <v>369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">
      <c r="A21" s="5" t="s">
        <v>368</v>
      </c>
      <c r="B21" s="5">
        <v>1</v>
      </c>
      <c r="C21" s="13" t="s">
        <v>367</v>
      </c>
      <c r="D21" s="5" t="s">
        <v>154</v>
      </c>
      <c r="E21" s="6" t="s">
        <v>366</v>
      </c>
      <c r="F21" s="5" t="s">
        <v>365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x14ac:dyDescent="0.2">
      <c r="A22" s="7" t="s">
        <v>364</v>
      </c>
      <c r="B22" s="7">
        <v>1</v>
      </c>
      <c r="C22" s="14" t="s">
        <v>363</v>
      </c>
      <c r="D22" s="7" t="s">
        <v>154</v>
      </c>
      <c r="E22" s="8" t="s">
        <v>362</v>
      </c>
      <c r="F22" s="7" t="s">
        <v>361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">
      <c r="A23" s="5" t="s">
        <v>360</v>
      </c>
      <c r="B23" s="5">
        <v>1</v>
      </c>
      <c r="C23" s="13" t="s">
        <v>359</v>
      </c>
      <c r="D23" s="5" t="s">
        <v>154</v>
      </c>
      <c r="E23" s="6" t="s">
        <v>358</v>
      </c>
      <c r="F23" s="5" t="s">
        <v>357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x14ac:dyDescent="0.2">
      <c r="A24" s="7" t="s">
        <v>356</v>
      </c>
      <c r="B24" s="7">
        <v>1</v>
      </c>
      <c r="C24" s="14" t="s">
        <v>355</v>
      </c>
      <c r="D24" s="7" t="s">
        <v>154</v>
      </c>
      <c r="E24" s="8" t="s">
        <v>354</v>
      </c>
      <c r="F24" s="7" t="s">
        <v>353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">
      <c r="A25" s="5" t="s">
        <v>352</v>
      </c>
      <c r="B25" s="5">
        <v>1</v>
      </c>
      <c r="C25" s="13" t="s">
        <v>351</v>
      </c>
      <c r="D25" s="5" t="s">
        <v>154</v>
      </c>
      <c r="E25" s="6" t="s">
        <v>350</v>
      </c>
      <c r="F25" s="5" t="s">
        <v>349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x14ac:dyDescent="0.2">
      <c r="A26" s="7" t="s">
        <v>348</v>
      </c>
      <c r="B26" s="7">
        <v>1</v>
      </c>
      <c r="C26" s="14" t="s">
        <v>347</v>
      </c>
      <c r="D26" s="7" t="s">
        <v>154</v>
      </c>
      <c r="E26" s="8" t="s">
        <v>346</v>
      </c>
      <c r="F26" s="7" t="s">
        <v>345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">
      <c r="A27" s="5" t="s">
        <v>344</v>
      </c>
      <c r="B27" s="5">
        <v>1</v>
      </c>
      <c r="C27" s="13" t="s">
        <v>343</v>
      </c>
      <c r="D27" s="5" t="s">
        <v>154</v>
      </c>
      <c r="E27" s="6" t="s">
        <v>342</v>
      </c>
      <c r="F27" s="5" t="s">
        <v>341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x14ac:dyDescent="0.2">
      <c r="A28" s="7" t="s">
        <v>340</v>
      </c>
      <c r="B28" s="7">
        <v>1</v>
      </c>
      <c r="C28" s="14" t="s">
        <v>339</v>
      </c>
      <c r="D28" s="7" t="s">
        <v>154</v>
      </c>
      <c r="E28" s="8" t="s">
        <v>338</v>
      </c>
      <c r="F28" s="7" t="s">
        <v>337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">
      <c r="A29" s="5" t="s">
        <v>336</v>
      </c>
      <c r="B29" s="5">
        <v>1</v>
      </c>
      <c r="C29" s="13" t="s">
        <v>335</v>
      </c>
      <c r="D29" s="5" t="s">
        <v>154</v>
      </c>
      <c r="E29" s="6" t="s">
        <v>334</v>
      </c>
      <c r="F29" s="5" t="s">
        <v>333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x14ac:dyDescent="0.2">
      <c r="A30" s="7" t="s">
        <v>332</v>
      </c>
      <c r="B30" s="7">
        <v>1</v>
      </c>
      <c r="C30" s="14" t="s">
        <v>331</v>
      </c>
      <c r="D30" s="7" t="s">
        <v>154</v>
      </c>
      <c r="E30" s="8" t="s">
        <v>330</v>
      </c>
      <c r="F30" s="7" t="s">
        <v>329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">
      <c r="A31" s="5" t="s">
        <v>328</v>
      </c>
      <c r="B31" s="5">
        <v>1</v>
      </c>
      <c r="C31" s="13" t="s">
        <v>327</v>
      </c>
      <c r="D31" s="5" t="s">
        <v>154</v>
      </c>
      <c r="E31" s="6" t="s">
        <v>326</v>
      </c>
      <c r="F31" s="5" t="s">
        <v>325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x14ac:dyDescent="0.2">
      <c r="A32" s="7" t="s">
        <v>324</v>
      </c>
      <c r="B32" s="7">
        <v>1</v>
      </c>
      <c r="C32" s="14" t="s">
        <v>323</v>
      </c>
      <c r="D32" s="7" t="s">
        <v>154</v>
      </c>
      <c r="E32" s="8" t="s">
        <v>322</v>
      </c>
      <c r="F32" s="7" t="s">
        <v>321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">
      <c r="A33" s="5" t="s">
        <v>320</v>
      </c>
      <c r="B33" s="5">
        <v>1</v>
      </c>
      <c r="C33" s="13" t="s">
        <v>319</v>
      </c>
      <c r="D33" s="5" t="s">
        <v>154</v>
      </c>
      <c r="E33" s="6" t="s">
        <v>318</v>
      </c>
      <c r="F33" s="5" t="s">
        <v>317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x14ac:dyDescent="0.2">
      <c r="A34" s="7" t="s">
        <v>316</v>
      </c>
      <c r="B34" s="7">
        <v>1</v>
      </c>
      <c r="C34" s="14" t="s">
        <v>315</v>
      </c>
      <c r="D34" s="7" t="s">
        <v>154</v>
      </c>
      <c r="E34" s="8" t="s">
        <v>314</v>
      </c>
      <c r="F34" s="7" t="s">
        <v>313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">
      <c r="A35" s="5" t="s">
        <v>312</v>
      </c>
      <c r="B35" s="5">
        <v>1</v>
      </c>
      <c r="C35" s="13" t="s">
        <v>311</v>
      </c>
      <c r="D35" s="5" t="s">
        <v>154</v>
      </c>
      <c r="E35" s="6" t="s">
        <v>310</v>
      </c>
      <c r="F35" s="5" t="s">
        <v>309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x14ac:dyDescent="0.2">
      <c r="A36" s="7" t="s">
        <v>308</v>
      </c>
      <c r="B36" s="7">
        <v>1</v>
      </c>
      <c r="C36" s="14" t="s">
        <v>307</v>
      </c>
      <c r="D36" s="7" t="s">
        <v>154</v>
      </c>
      <c r="E36" s="8" t="s">
        <v>306</v>
      </c>
      <c r="F36" s="7" t="s">
        <v>305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">
      <c r="A37" s="5" t="s">
        <v>304</v>
      </c>
      <c r="B37" s="5">
        <v>1</v>
      </c>
      <c r="C37" s="13" t="s">
        <v>303</v>
      </c>
      <c r="D37" s="5" t="s">
        <v>154</v>
      </c>
      <c r="E37" s="6" t="s">
        <v>302</v>
      </c>
      <c r="F37" s="5" t="s">
        <v>301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x14ac:dyDescent="0.2">
      <c r="A38" s="7" t="s">
        <v>300</v>
      </c>
      <c r="B38" s="7">
        <v>1</v>
      </c>
      <c r="C38" s="14" t="s">
        <v>299</v>
      </c>
      <c r="D38" s="7" t="s">
        <v>154</v>
      </c>
      <c r="E38" s="8" t="s">
        <v>298</v>
      </c>
      <c r="F38" s="7" t="s">
        <v>297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1:AY41"/>
  <sheetViews>
    <sheetView zoomScale="191" workbookViewId="0">
      <pane ySplit="2" topLeftCell="A5" activePane="bottomLeft" state="frozen"/>
      <selection pane="bottomLeft" activeCell="E1" sqref="E1:F1048576"/>
    </sheetView>
  </sheetViews>
  <sheetFormatPr baseColWidth="10" defaultColWidth="8.83203125" defaultRowHeight="15" x14ac:dyDescent="0.2"/>
  <cols>
    <col min="1" max="1" width="15.1640625" style="4" bestFit="1" customWidth="1"/>
    <col min="2" max="2" width="4.5" style="4" bestFit="1" customWidth="1"/>
    <col min="3" max="3" width="43.5" style="4" bestFit="1" customWidth="1"/>
    <col min="4" max="4" width="4" style="4" bestFit="1" customWidth="1"/>
    <col min="5" max="5" width="36.5" style="4" hidden="1" customWidth="1"/>
    <col min="6" max="6" width="45.83203125" style="4" hidden="1" customWidth="1"/>
    <col min="7" max="16384" width="8.83203125" style="4"/>
  </cols>
  <sheetData>
    <row r="1" spans="1:51" x14ac:dyDescent="0.2">
      <c r="A1" s="23" t="s">
        <v>748</v>
      </c>
      <c r="C1" s="4" t="s">
        <v>441</v>
      </c>
    </row>
    <row r="2" spans="1:51" x14ac:dyDescent="0.2">
      <c r="A2" s="9" t="s">
        <v>1</v>
      </c>
      <c r="B2" s="9" t="s">
        <v>2</v>
      </c>
      <c r="C2" s="9" t="s">
        <v>3</v>
      </c>
      <c r="D2" s="9" t="s">
        <v>747</v>
      </c>
      <c r="E2" s="9" t="s">
        <v>5</v>
      </c>
      <c r="F2" s="9" t="s">
        <v>6</v>
      </c>
      <c r="G2" s="9">
        <v>24</v>
      </c>
      <c r="H2" s="9">
        <v>25</v>
      </c>
      <c r="I2" s="9">
        <v>26</v>
      </c>
      <c r="J2" s="9">
        <v>27</v>
      </c>
      <c r="K2" s="9">
        <v>28</v>
      </c>
      <c r="L2" s="9">
        <v>31</v>
      </c>
      <c r="M2" s="9">
        <v>1</v>
      </c>
      <c r="N2" s="9">
        <v>2</v>
      </c>
      <c r="O2" s="9">
        <v>3</v>
      </c>
      <c r="P2" s="9">
        <v>4</v>
      </c>
      <c r="Q2" s="9">
        <v>7</v>
      </c>
      <c r="R2" s="9">
        <v>8</v>
      </c>
      <c r="S2" s="9">
        <v>9</v>
      </c>
      <c r="T2" s="9">
        <v>10</v>
      </c>
      <c r="U2" s="9">
        <v>11</v>
      </c>
      <c r="V2" s="9">
        <v>14</v>
      </c>
      <c r="W2" s="9">
        <v>15</v>
      </c>
      <c r="X2" s="9">
        <v>16</v>
      </c>
      <c r="Y2" s="9">
        <v>17</v>
      </c>
      <c r="Z2" s="9">
        <v>18</v>
      </c>
      <c r="AA2" s="9">
        <v>21</v>
      </c>
      <c r="AB2" s="9">
        <v>22</v>
      </c>
      <c r="AC2" s="9">
        <v>23</v>
      </c>
      <c r="AD2" s="9">
        <v>24</v>
      </c>
      <c r="AE2" s="9">
        <v>25</v>
      </c>
      <c r="AF2" s="9">
        <v>28</v>
      </c>
      <c r="AG2" s="9">
        <v>29</v>
      </c>
      <c r="AH2" s="9">
        <v>30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">
      <c r="A3" s="5" t="s">
        <v>593</v>
      </c>
      <c r="B3" s="5">
        <v>1</v>
      </c>
      <c r="C3" s="6" t="s">
        <v>592</v>
      </c>
      <c r="D3" s="5" t="s">
        <v>171</v>
      </c>
      <c r="E3" s="6" t="s">
        <v>591</v>
      </c>
      <c r="F3" s="5" t="s">
        <v>590</v>
      </c>
      <c r="G3" s="116"/>
      <c r="H3" s="117"/>
      <c r="I3" s="5"/>
      <c r="J3" s="5"/>
      <c r="K3" s="5"/>
      <c r="L3" s="5">
        <v>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">
      <c r="A4" s="7" t="s">
        <v>589</v>
      </c>
      <c r="B4" s="7">
        <v>1</v>
      </c>
      <c r="C4" s="8" t="s">
        <v>588</v>
      </c>
      <c r="D4" s="7" t="s">
        <v>171</v>
      </c>
      <c r="E4" s="8" t="s">
        <v>587</v>
      </c>
      <c r="F4" s="7" t="s">
        <v>586</v>
      </c>
      <c r="G4" s="118"/>
      <c r="H4" s="119"/>
      <c r="I4" s="7"/>
      <c r="J4" s="7"/>
      <c r="K4" s="7"/>
      <c r="L4" s="7">
        <v>1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5" t="s">
        <v>585</v>
      </c>
      <c r="B5" s="5">
        <v>1</v>
      </c>
      <c r="C5" s="6" t="s">
        <v>584</v>
      </c>
      <c r="D5" s="5" t="s">
        <v>171</v>
      </c>
      <c r="E5" s="6" t="s">
        <v>583</v>
      </c>
      <c r="F5" s="5" t="s">
        <v>582</v>
      </c>
      <c r="G5" s="118"/>
      <c r="H5" s="119"/>
      <c r="I5" s="5"/>
      <c r="J5" s="5"/>
      <c r="K5" s="5"/>
      <c r="L5" s="5">
        <v>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">
      <c r="A6" s="7" t="s">
        <v>581</v>
      </c>
      <c r="B6" s="7">
        <v>1</v>
      </c>
      <c r="C6" s="8" t="s">
        <v>580</v>
      </c>
      <c r="D6" s="7" t="s">
        <v>171</v>
      </c>
      <c r="E6" s="8" t="s">
        <v>579</v>
      </c>
      <c r="F6" s="7" t="s">
        <v>578</v>
      </c>
      <c r="G6" s="118"/>
      <c r="H6" s="11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5" t="s">
        <v>577</v>
      </c>
      <c r="B7" s="5">
        <v>1</v>
      </c>
      <c r="C7" s="6" t="s">
        <v>576</v>
      </c>
      <c r="D7" s="5" t="s">
        <v>171</v>
      </c>
      <c r="E7" s="6" t="s">
        <v>575</v>
      </c>
      <c r="F7" s="5" t="s">
        <v>574</v>
      </c>
      <c r="G7" s="118"/>
      <c r="H7" s="119"/>
      <c r="I7" s="5"/>
      <c r="J7" s="5"/>
      <c r="K7" s="5"/>
      <c r="L7" s="5">
        <v>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">
      <c r="A8" s="7" t="s">
        <v>573</v>
      </c>
      <c r="B8" s="7">
        <v>1</v>
      </c>
      <c r="C8" s="8" t="s">
        <v>572</v>
      </c>
      <c r="D8" s="7" t="s">
        <v>171</v>
      </c>
      <c r="E8" s="8" t="s">
        <v>571</v>
      </c>
      <c r="F8" s="7" t="s">
        <v>570</v>
      </c>
      <c r="G8" s="118"/>
      <c r="H8" s="119"/>
      <c r="I8" s="7"/>
      <c r="J8" s="7"/>
      <c r="K8" s="7"/>
      <c r="L8" s="7">
        <v>1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5" t="s">
        <v>569</v>
      </c>
      <c r="B9" s="5">
        <v>1</v>
      </c>
      <c r="C9" s="6" t="s">
        <v>568</v>
      </c>
      <c r="D9" s="5" t="s">
        <v>171</v>
      </c>
      <c r="E9" s="6" t="s">
        <v>567</v>
      </c>
      <c r="F9" s="5" t="s">
        <v>566</v>
      </c>
      <c r="G9" s="118"/>
      <c r="H9" s="119"/>
      <c r="I9" s="5"/>
      <c r="J9" s="5"/>
      <c r="K9" s="5"/>
      <c r="L9" s="5">
        <v>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">
      <c r="A10" s="7" t="s">
        <v>565</v>
      </c>
      <c r="B10" s="7">
        <v>1</v>
      </c>
      <c r="C10" s="8" t="s">
        <v>564</v>
      </c>
      <c r="D10" s="7" t="s">
        <v>171</v>
      </c>
      <c r="E10" s="8" t="s">
        <v>563</v>
      </c>
      <c r="F10" s="7" t="s">
        <v>562</v>
      </c>
      <c r="G10" s="118"/>
      <c r="H10" s="119"/>
      <c r="I10" s="7"/>
      <c r="J10" s="7"/>
      <c r="K10" s="7"/>
      <c r="L10" s="7">
        <v>1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">
      <c r="A11" s="5" t="s">
        <v>561</v>
      </c>
      <c r="B11" s="5">
        <v>1</v>
      </c>
      <c r="C11" s="6" t="s">
        <v>560</v>
      </c>
      <c r="D11" s="5" t="s">
        <v>171</v>
      </c>
      <c r="E11" s="6" t="s">
        <v>559</v>
      </c>
      <c r="F11" s="5" t="s">
        <v>558</v>
      </c>
      <c r="G11" s="118"/>
      <c r="H11" s="119"/>
      <c r="I11" s="5"/>
      <c r="J11" s="5"/>
      <c r="K11" s="5"/>
      <c r="L11" s="5">
        <v>1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">
      <c r="A12" s="7" t="s">
        <v>557</v>
      </c>
      <c r="B12" s="7">
        <v>1</v>
      </c>
      <c r="C12" s="8" t="s">
        <v>556</v>
      </c>
      <c r="D12" s="7" t="s">
        <v>171</v>
      </c>
      <c r="E12" s="8" t="s">
        <v>555</v>
      </c>
      <c r="F12" s="7" t="s">
        <v>554</v>
      </c>
      <c r="G12" s="118"/>
      <c r="H12" s="119"/>
      <c r="I12" s="7"/>
      <c r="J12" s="7"/>
      <c r="K12" s="7"/>
      <c r="L12" s="7">
        <v>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">
      <c r="A13" s="5" t="s">
        <v>553</v>
      </c>
      <c r="B13" s="5">
        <v>1</v>
      </c>
      <c r="C13" s="6" t="s">
        <v>552</v>
      </c>
      <c r="D13" s="5" t="s">
        <v>171</v>
      </c>
      <c r="E13" s="6" t="s">
        <v>551</v>
      </c>
      <c r="F13" s="5" t="s">
        <v>550</v>
      </c>
      <c r="G13" s="118"/>
      <c r="H13" s="11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">
      <c r="A14" s="7" t="s">
        <v>549</v>
      </c>
      <c r="B14" s="7">
        <v>1</v>
      </c>
      <c r="C14" s="8" t="s">
        <v>548</v>
      </c>
      <c r="D14" s="7" t="s">
        <v>171</v>
      </c>
      <c r="E14" s="8" t="s">
        <v>547</v>
      </c>
      <c r="F14" s="7" t="s">
        <v>546</v>
      </c>
      <c r="G14" s="118"/>
      <c r="H14" s="119"/>
      <c r="I14" s="7"/>
      <c r="J14" s="7"/>
      <c r="K14" s="7"/>
      <c r="L14" s="7">
        <v>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">
      <c r="A15" s="5" t="s">
        <v>545</v>
      </c>
      <c r="B15" s="5">
        <v>1</v>
      </c>
      <c r="C15" s="6" t="s">
        <v>544</v>
      </c>
      <c r="D15" s="5" t="s">
        <v>171</v>
      </c>
      <c r="E15" s="6" t="s">
        <v>543</v>
      </c>
      <c r="F15" s="5" t="s">
        <v>542</v>
      </c>
      <c r="G15" s="118"/>
      <c r="H15" s="11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">
      <c r="A16" s="7" t="s">
        <v>541</v>
      </c>
      <c r="B16" s="7">
        <v>1</v>
      </c>
      <c r="C16" s="8" t="s">
        <v>540</v>
      </c>
      <c r="D16" s="7" t="s">
        <v>171</v>
      </c>
      <c r="E16" s="8" t="s">
        <v>539</v>
      </c>
      <c r="F16" s="7" t="s">
        <v>538</v>
      </c>
      <c r="G16" s="118"/>
      <c r="H16" s="119"/>
      <c r="I16" s="7"/>
      <c r="J16" s="7"/>
      <c r="K16" s="7"/>
      <c r="L16" s="7">
        <v>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">
      <c r="A17" s="5" t="s">
        <v>537</v>
      </c>
      <c r="B17" s="5">
        <v>1</v>
      </c>
      <c r="C17" s="6" t="s">
        <v>536</v>
      </c>
      <c r="D17" s="5" t="s">
        <v>171</v>
      </c>
      <c r="E17" s="6" t="s">
        <v>535</v>
      </c>
      <c r="F17" s="5" t="s">
        <v>534</v>
      </c>
      <c r="G17" s="118"/>
      <c r="H17" s="119"/>
      <c r="I17" s="5"/>
      <c r="J17" s="5"/>
      <c r="K17" s="5"/>
      <c r="L17" s="5">
        <v>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">
      <c r="A18" s="7" t="s">
        <v>533</v>
      </c>
      <c r="B18" s="7">
        <v>1</v>
      </c>
      <c r="C18" s="8" t="s">
        <v>532</v>
      </c>
      <c r="D18" s="7" t="s">
        <v>171</v>
      </c>
      <c r="E18" s="8" t="s">
        <v>531</v>
      </c>
      <c r="F18" s="7" t="s">
        <v>530</v>
      </c>
      <c r="G18" s="118"/>
      <c r="H18" s="119"/>
      <c r="I18" s="7"/>
      <c r="J18" s="7"/>
      <c r="K18" s="7"/>
      <c r="L18" s="7">
        <v>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">
      <c r="A19" s="5" t="s">
        <v>529</v>
      </c>
      <c r="B19" s="5">
        <v>1</v>
      </c>
      <c r="C19" s="6" t="s">
        <v>528</v>
      </c>
      <c r="D19" s="5" t="s">
        <v>171</v>
      </c>
      <c r="E19" s="6" t="s">
        <v>527</v>
      </c>
      <c r="F19" s="5" t="s">
        <v>526</v>
      </c>
      <c r="G19" s="118"/>
      <c r="H19" s="119"/>
      <c r="I19" s="5"/>
      <c r="J19" s="5"/>
      <c r="K19" s="5"/>
      <c r="L19" s="5">
        <v>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">
      <c r="A20" s="7" t="s">
        <v>525</v>
      </c>
      <c r="B20" s="7">
        <v>1</v>
      </c>
      <c r="C20" s="8" t="s">
        <v>524</v>
      </c>
      <c r="D20" s="7" t="s">
        <v>171</v>
      </c>
      <c r="E20" s="8" t="s">
        <v>523</v>
      </c>
      <c r="F20" s="7" t="s">
        <v>522</v>
      </c>
      <c r="G20" s="118"/>
      <c r="H20" s="119"/>
      <c r="I20" s="7"/>
      <c r="J20" s="7"/>
      <c r="K20" s="7"/>
      <c r="L20" s="7">
        <v>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">
      <c r="A21" s="5" t="s">
        <v>521</v>
      </c>
      <c r="B21" s="5">
        <v>1</v>
      </c>
      <c r="C21" s="6" t="s">
        <v>520</v>
      </c>
      <c r="D21" s="5" t="s">
        <v>171</v>
      </c>
      <c r="E21" s="6" t="s">
        <v>519</v>
      </c>
      <c r="F21" s="5" t="s">
        <v>518</v>
      </c>
      <c r="G21" s="118"/>
      <c r="H21" s="11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">
      <c r="A22" s="7" t="s">
        <v>517</v>
      </c>
      <c r="B22" s="7">
        <v>1</v>
      </c>
      <c r="C22" s="8" t="s">
        <v>516</v>
      </c>
      <c r="D22" s="7" t="s">
        <v>171</v>
      </c>
      <c r="E22" s="8" t="s">
        <v>515</v>
      </c>
      <c r="F22" s="7" t="s">
        <v>514</v>
      </c>
      <c r="G22" s="118"/>
      <c r="H22" s="119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">
      <c r="A23" s="5" t="s">
        <v>513</v>
      </c>
      <c r="B23" s="5">
        <v>1</v>
      </c>
      <c r="C23" s="6" t="s">
        <v>512</v>
      </c>
      <c r="D23" s="5" t="s">
        <v>171</v>
      </c>
      <c r="E23" s="6" t="s">
        <v>511</v>
      </c>
      <c r="F23" s="5" t="s">
        <v>510</v>
      </c>
      <c r="G23" s="118"/>
      <c r="H23" s="119"/>
      <c r="I23" s="5"/>
      <c r="J23" s="5"/>
      <c r="K23" s="5"/>
      <c r="L23" s="5">
        <v>1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">
      <c r="A24" s="7" t="s">
        <v>509</v>
      </c>
      <c r="B24" s="7">
        <v>1</v>
      </c>
      <c r="C24" s="8" t="s">
        <v>508</v>
      </c>
      <c r="D24" s="7" t="s">
        <v>171</v>
      </c>
      <c r="E24" s="8" t="s">
        <v>507</v>
      </c>
      <c r="F24" s="7" t="s">
        <v>506</v>
      </c>
      <c r="G24" s="118"/>
      <c r="H24" s="119"/>
      <c r="I24" s="7"/>
      <c r="J24" s="7"/>
      <c r="K24" s="7"/>
      <c r="L24" s="7">
        <v>1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">
      <c r="A25" s="5" t="s">
        <v>505</v>
      </c>
      <c r="B25" s="5">
        <v>1</v>
      </c>
      <c r="C25" s="6" t="s">
        <v>504</v>
      </c>
      <c r="D25" s="5" t="s">
        <v>171</v>
      </c>
      <c r="E25" s="6" t="s">
        <v>503</v>
      </c>
      <c r="F25" s="5" t="s">
        <v>502</v>
      </c>
      <c r="G25" s="118"/>
      <c r="H25" s="119"/>
      <c r="I25" s="5"/>
      <c r="J25" s="5"/>
      <c r="K25" s="5"/>
      <c r="L25" s="5">
        <v>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">
      <c r="A26" s="7" t="s">
        <v>501</v>
      </c>
      <c r="B26" s="7">
        <v>1</v>
      </c>
      <c r="C26" s="8" t="s">
        <v>500</v>
      </c>
      <c r="D26" s="7" t="s">
        <v>171</v>
      </c>
      <c r="E26" s="8" t="s">
        <v>499</v>
      </c>
      <c r="F26" s="7" t="s">
        <v>498</v>
      </c>
      <c r="G26" s="118"/>
      <c r="H26" s="11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">
      <c r="A27" s="5" t="s">
        <v>497</v>
      </c>
      <c r="B27" s="5">
        <v>1</v>
      </c>
      <c r="C27" s="6" t="s">
        <v>496</v>
      </c>
      <c r="D27" s="5" t="s">
        <v>171</v>
      </c>
      <c r="E27" s="6" t="s">
        <v>495</v>
      </c>
      <c r="F27" s="5" t="s">
        <v>494</v>
      </c>
      <c r="G27" s="118"/>
      <c r="H27" s="119"/>
      <c r="I27" s="5"/>
      <c r="J27" s="5"/>
      <c r="K27" s="5"/>
      <c r="L27" s="5">
        <v>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">
      <c r="A28" s="7" t="s">
        <v>493</v>
      </c>
      <c r="B28" s="7">
        <v>1</v>
      </c>
      <c r="C28" s="8" t="s">
        <v>492</v>
      </c>
      <c r="D28" s="7" t="s">
        <v>171</v>
      </c>
      <c r="E28" s="8" t="s">
        <v>491</v>
      </c>
      <c r="F28" s="7" t="s">
        <v>490</v>
      </c>
      <c r="G28" s="118"/>
      <c r="H28" s="119"/>
      <c r="I28" s="7"/>
      <c r="J28" s="7"/>
      <c r="K28" s="7"/>
      <c r="L28" s="7">
        <v>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">
      <c r="A29" s="5" t="s">
        <v>489</v>
      </c>
      <c r="B29" s="5">
        <v>1</v>
      </c>
      <c r="C29" s="6" t="s">
        <v>488</v>
      </c>
      <c r="D29" s="5" t="s">
        <v>171</v>
      </c>
      <c r="E29" s="6" t="s">
        <v>487</v>
      </c>
      <c r="F29" s="5" t="s">
        <v>486</v>
      </c>
      <c r="G29" s="118"/>
      <c r="H29" s="119"/>
      <c r="I29" s="5"/>
      <c r="J29" s="5"/>
      <c r="K29" s="5"/>
      <c r="L29" s="5">
        <v>1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">
      <c r="A30" s="7" t="s">
        <v>485</v>
      </c>
      <c r="B30" s="7">
        <v>1</v>
      </c>
      <c r="C30" s="8" t="s">
        <v>484</v>
      </c>
      <c r="D30" s="7" t="s">
        <v>171</v>
      </c>
      <c r="E30" s="8" t="s">
        <v>483</v>
      </c>
      <c r="F30" s="7" t="s">
        <v>482</v>
      </c>
      <c r="G30" s="118"/>
      <c r="H30" s="119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">
      <c r="A31" s="5" t="s">
        <v>481</v>
      </c>
      <c r="B31" s="5">
        <v>1</v>
      </c>
      <c r="C31" s="6" t="s">
        <v>480</v>
      </c>
      <c r="D31" s="5" t="s">
        <v>171</v>
      </c>
      <c r="E31" s="6" t="s">
        <v>479</v>
      </c>
      <c r="F31" s="5" t="s">
        <v>478</v>
      </c>
      <c r="G31" s="118"/>
      <c r="H31" s="119"/>
      <c r="I31" s="5"/>
      <c r="J31" s="5"/>
      <c r="K31" s="5"/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">
      <c r="A32" s="7" t="s">
        <v>477</v>
      </c>
      <c r="B32" s="7">
        <v>1</v>
      </c>
      <c r="C32" s="8" t="s">
        <v>476</v>
      </c>
      <c r="D32" s="7" t="s">
        <v>171</v>
      </c>
      <c r="E32" s="8" t="s">
        <v>475</v>
      </c>
      <c r="F32" s="7" t="s">
        <v>474</v>
      </c>
      <c r="G32" s="118"/>
      <c r="H32" s="119"/>
      <c r="I32" s="7"/>
      <c r="J32" s="7"/>
      <c r="K32" s="7"/>
      <c r="L32" s="7"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">
      <c r="A33" s="5" t="s">
        <v>473</v>
      </c>
      <c r="B33" s="5">
        <v>1</v>
      </c>
      <c r="C33" s="6" t="s">
        <v>472</v>
      </c>
      <c r="D33" s="5" t="s">
        <v>171</v>
      </c>
      <c r="E33" s="6" t="s">
        <v>471</v>
      </c>
      <c r="F33" s="5" t="s">
        <v>470</v>
      </c>
      <c r="G33" s="118"/>
      <c r="H33" s="119"/>
      <c r="I33" s="5"/>
      <c r="J33" s="5"/>
      <c r="K33" s="5"/>
      <c r="L33" s="5">
        <v>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">
      <c r="A34" s="7" t="s">
        <v>469</v>
      </c>
      <c r="B34" s="7">
        <v>1</v>
      </c>
      <c r="C34" s="8" t="s">
        <v>468</v>
      </c>
      <c r="D34" s="7" t="s">
        <v>171</v>
      </c>
      <c r="E34" s="8" t="s">
        <v>467</v>
      </c>
      <c r="F34" s="7" t="s">
        <v>466</v>
      </c>
      <c r="G34" s="118"/>
      <c r="H34" s="119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">
      <c r="A35" s="5" t="s">
        <v>465</v>
      </c>
      <c r="B35" s="5">
        <v>1</v>
      </c>
      <c r="C35" s="6" t="s">
        <v>464</v>
      </c>
      <c r="D35" s="5" t="s">
        <v>171</v>
      </c>
      <c r="E35" s="6" t="s">
        <v>463</v>
      </c>
      <c r="F35" s="5" t="s">
        <v>462</v>
      </c>
      <c r="G35" s="118"/>
      <c r="H35" s="119"/>
      <c r="I35" s="5"/>
      <c r="J35" s="5"/>
      <c r="K35" s="5"/>
      <c r="L35" s="5">
        <v>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">
      <c r="A36" s="7" t="s">
        <v>461</v>
      </c>
      <c r="B36" s="7">
        <v>1</v>
      </c>
      <c r="C36" s="8" t="s">
        <v>460</v>
      </c>
      <c r="D36" s="7" t="s">
        <v>171</v>
      </c>
      <c r="E36" s="8" t="s">
        <v>459</v>
      </c>
      <c r="F36" s="7" t="s">
        <v>458</v>
      </c>
      <c r="G36" s="118"/>
      <c r="H36" s="119"/>
      <c r="I36" s="7"/>
      <c r="J36" s="7"/>
      <c r="K36" s="7"/>
      <c r="L36" s="7"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">
      <c r="A37" s="5" t="s">
        <v>457</v>
      </c>
      <c r="B37" s="5">
        <v>1</v>
      </c>
      <c r="C37" s="6" t="s">
        <v>456</v>
      </c>
      <c r="D37" s="5" t="s">
        <v>171</v>
      </c>
      <c r="E37" s="6" t="s">
        <v>455</v>
      </c>
      <c r="F37" s="5" t="s">
        <v>454</v>
      </c>
      <c r="G37" s="118"/>
      <c r="H37" s="119"/>
      <c r="I37" s="5"/>
      <c r="J37" s="5"/>
      <c r="K37" s="5"/>
      <c r="L37" s="5">
        <v>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">
      <c r="A38" s="7" t="s">
        <v>453</v>
      </c>
      <c r="B38" s="7">
        <v>1</v>
      </c>
      <c r="C38" s="8" t="s">
        <v>452</v>
      </c>
      <c r="D38" s="7" t="s">
        <v>171</v>
      </c>
      <c r="E38" s="8" t="s">
        <v>451</v>
      </c>
      <c r="F38" s="7" t="s">
        <v>450</v>
      </c>
      <c r="G38" s="118"/>
      <c r="H38" s="119"/>
      <c r="I38" s="7"/>
      <c r="J38" s="7"/>
      <c r="K38" s="7"/>
      <c r="L38" s="7"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">
      <c r="A39" s="5" t="s">
        <v>449</v>
      </c>
      <c r="B39" s="5">
        <v>1</v>
      </c>
      <c r="C39" s="6" t="s">
        <v>448</v>
      </c>
      <c r="D39" s="5" t="s">
        <v>171</v>
      </c>
      <c r="E39" s="6" t="s">
        <v>447</v>
      </c>
      <c r="F39" s="5" t="s">
        <v>446</v>
      </c>
      <c r="G39" s="118"/>
      <c r="H39" s="11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">
      <c r="A40" s="7" t="s">
        <v>445</v>
      </c>
      <c r="B40" s="7">
        <v>1</v>
      </c>
      <c r="C40" s="8" t="s">
        <v>444</v>
      </c>
      <c r="D40" s="7" t="s">
        <v>171</v>
      </c>
      <c r="E40" s="8" t="s">
        <v>443</v>
      </c>
      <c r="F40" s="7" t="s">
        <v>442</v>
      </c>
      <c r="G40" s="120"/>
      <c r="H40" s="121"/>
      <c r="I40" s="7"/>
      <c r="J40" s="7"/>
      <c r="K40" s="7"/>
      <c r="L40" s="7"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">
      <c r="L41" s="4">
        <f>SUM(L3:L40)</f>
        <v>30</v>
      </c>
    </row>
  </sheetData>
  <mergeCells count="1">
    <mergeCell ref="G3:H4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5A_CD</vt:lpstr>
      <vt:lpstr>M08_CI</vt:lpstr>
      <vt:lpstr>M13_CI</vt:lpstr>
      <vt:lpstr>M09_AL</vt:lpstr>
      <vt:lpstr>9M_CD</vt:lpstr>
      <vt:lpstr>4B_CD</vt:lpstr>
      <vt:lpstr>3V_CD</vt:lpstr>
      <vt:lpstr>6W_TCD</vt:lpstr>
      <vt:lpstr>11A_TCD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2026-10-09T01:09:31Z</dcterms:modified>
  <cp:category/>
</cp:coreProperties>
</file>