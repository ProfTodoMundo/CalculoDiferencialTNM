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59CAB694-3A3C-614C-B0AE-ECACFEED8071}" xr6:coauthVersionLast="47" xr6:coauthVersionMax="47" xr10:uidLastSave="{00000000-0000-0000-0000-000000000000}"/>
  <bookViews>
    <workbookView xWindow="0" yWindow="660" windowWidth="30240" windowHeight="17020" activeTab="5" xr2:uid="{00000000-000D-0000-FFFF-FFFF00000000}"/>
  </bookViews>
  <sheets>
    <sheet name="5A_CD" sheetId="4" r:id="rId1"/>
    <sheet name="M08_CI" sheetId="3" r:id="rId2"/>
    <sheet name="M13_CI" sheetId="7" r:id="rId3"/>
    <sheet name="M09_AL" sheetId="9" r:id="rId4"/>
    <sheet name="11A_TCD" sheetId="6" r:id="rId5"/>
    <sheet name="9M_CD" sheetId="1" r:id="rId6"/>
    <sheet name="4B_CD" sheetId="2" r:id="rId7"/>
    <sheet name="6W_TCD" sheetId="5" r:id="rId8"/>
    <sheet name="3V_C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5" i="1" l="1"/>
  <c r="AZ35" i="1"/>
  <c r="AT35" i="1"/>
  <c r="AN35" i="1"/>
  <c r="AH35" i="1"/>
  <c r="AB35" i="1"/>
  <c r="V35" i="1"/>
  <c r="P35" i="1"/>
  <c r="N5" i="8"/>
  <c r="L23" i="2"/>
  <c r="M41" i="2"/>
  <c r="O9" i="2"/>
  <c r="O4" i="2"/>
  <c r="AG38" i="2"/>
  <c r="CJ41" i="2"/>
  <c r="CD41" i="2"/>
  <c r="BX41" i="2"/>
  <c r="BR41" i="2"/>
  <c r="BK41" i="2"/>
  <c r="BE41" i="2"/>
  <c r="AY41" i="2"/>
  <c r="AS41" i="2"/>
  <c r="AM41" i="2"/>
  <c r="AG41" i="2"/>
  <c r="AA41" i="2"/>
  <c r="U41" i="2"/>
  <c r="CJ40" i="2"/>
  <c r="CD40" i="2"/>
  <c r="BX40" i="2"/>
  <c r="BR40" i="2"/>
  <c r="BK40" i="2"/>
  <c r="BE40" i="2"/>
  <c r="N40" i="2" s="1"/>
  <c r="M40" i="2" s="1"/>
  <c r="L40" i="2" s="1"/>
  <c r="AY40" i="2"/>
  <c r="AS40" i="2"/>
  <c r="AM40" i="2"/>
  <c r="AG40" i="2"/>
  <c r="AA40" i="2"/>
  <c r="U40" i="2"/>
  <c r="O14" i="2"/>
  <c r="O24" i="2"/>
  <c r="AG34" i="2"/>
  <c r="L37" i="2"/>
  <c r="BX37" i="2"/>
  <c r="BR37" i="2"/>
  <c r="L35" i="2"/>
  <c r="L20" i="2"/>
  <c r="L19" i="2"/>
  <c r="L12" i="2"/>
  <c r="N12" i="2"/>
  <c r="M12" i="2" s="1"/>
  <c r="I6" i="4"/>
  <c r="I41" i="4"/>
  <c r="I40" i="4"/>
  <c r="I39" i="4"/>
  <c r="I38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5" i="4"/>
  <c r="I4" i="4"/>
  <c r="CI26" i="8"/>
  <c r="CC26" i="8"/>
  <c r="BW26" i="8"/>
  <c r="BQ26" i="8"/>
  <c r="BJ26" i="8"/>
  <c r="BD26" i="8"/>
  <c r="AX26" i="8"/>
  <c r="AR26" i="8"/>
  <c r="AL26" i="8"/>
  <c r="AF26" i="8"/>
  <c r="Z26" i="8"/>
  <c r="T26" i="8"/>
  <c r="CI25" i="8"/>
  <c r="CC25" i="8"/>
  <c r="BW25" i="8"/>
  <c r="BQ25" i="8"/>
  <c r="BJ25" i="8"/>
  <c r="BD25" i="8"/>
  <c r="AX25" i="8"/>
  <c r="AR25" i="8"/>
  <c r="AL25" i="8"/>
  <c r="AF25" i="8"/>
  <c r="Z25" i="8"/>
  <c r="T25" i="8"/>
  <c r="CI24" i="8"/>
  <c r="CC24" i="8"/>
  <c r="BW24" i="8"/>
  <c r="BQ24" i="8"/>
  <c r="BJ24" i="8"/>
  <c r="BD24" i="8"/>
  <c r="AX24" i="8"/>
  <c r="AR24" i="8"/>
  <c r="AL24" i="8"/>
  <c r="AF24" i="8"/>
  <c r="Z24" i="8"/>
  <c r="T24" i="8"/>
  <c r="CI23" i="8"/>
  <c r="CC23" i="8"/>
  <c r="BW23" i="8"/>
  <c r="BQ23" i="8"/>
  <c r="BJ23" i="8"/>
  <c r="BD23" i="8"/>
  <c r="AX23" i="8"/>
  <c r="AR23" i="8"/>
  <c r="AL23" i="8"/>
  <c r="AF23" i="8"/>
  <c r="Z23" i="8"/>
  <c r="T23" i="8"/>
  <c r="CI22" i="8"/>
  <c r="CC22" i="8"/>
  <c r="BW22" i="8"/>
  <c r="BQ22" i="8"/>
  <c r="BJ22" i="8"/>
  <c r="BD22" i="8"/>
  <c r="AX22" i="8"/>
  <c r="AR22" i="8"/>
  <c r="AL22" i="8"/>
  <c r="AF22" i="8"/>
  <c r="Z22" i="8"/>
  <c r="T22" i="8"/>
  <c r="CI21" i="8"/>
  <c r="CC21" i="8"/>
  <c r="BW21" i="8"/>
  <c r="BQ21" i="8"/>
  <c r="BJ21" i="8"/>
  <c r="BD21" i="8"/>
  <c r="AX21" i="8"/>
  <c r="AR21" i="8"/>
  <c r="AL21" i="8"/>
  <c r="AF21" i="8"/>
  <c r="Z21" i="8"/>
  <c r="T21" i="8"/>
  <c r="CI20" i="8"/>
  <c r="CC20" i="8"/>
  <c r="BW20" i="8"/>
  <c r="BQ20" i="8"/>
  <c r="BJ20" i="8"/>
  <c r="BD20" i="8"/>
  <c r="AX20" i="8"/>
  <c r="AR20" i="8"/>
  <c r="AL20" i="8"/>
  <c r="AF20" i="8"/>
  <c r="Z20" i="8"/>
  <c r="T20" i="8"/>
  <c r="CI19" i="8"/>
  <c r="CC19" i="8"/>
  <c r="BW19" i="8"/>
  <c r="BQ19" i="8"/>
  <c r="BJ19" i="8"/>
  <c r="BD19" i="8"/>
  <c r="AX19" i="8"/>
  <c r="AR19" i="8"/>
  <c r="AL19" i="8"/>
  <c r="AF19" i="8"/>
  <c r="Z19" i="8"/>
  <c r="T19" i="8"/>
  <c r="CI18" i="8"/>
  <c r="CC18" i="8"/>
  <c r="BW18" i="8"/>
  <c r="BQ18" i="8"/>
  <c r="BJ18" i="8"/>
  <c r="BD18" i="8"/>
  <c r="AX18" i="8"/>
  <c r="AR18" i="8"/>
  <c r="AL18" i="8"/>
  <c r="AF18" i="8"/>
  <c r="Z18" i="8"/>
  <c r="T18" i="8"/>
  <c r="CI17" i="8"/>
  <c r="CC17" i="8"/>
  <c r="BW17" i="8"/>
  <c r="BQ17" i="8"/>
  <c r="BJ17" i="8"/>
  <c r="BD17" i="8"/>
  <c r="AX17" i="8"/>
  <c r="AR17" i="8"/>
  <c r="AL17" i="8"/>
  <c r="AF17" i="8"/>
  <c r="Z17" i="8"/>
  <c r="T17" i="8"/>
  <c r="CI16" i="8"/>
  <c r="CC16" i="8"/>
  <c r="BW16" i="8"/>
  <c r="BQ16" i="8"/>
  <c r="BJ16" i="8"/>
  <c r="BD16" i="8"/>
  <c r="AX16" i="8"/>
  <c r="AR16" i="8"/>
  <c r="AL16" i="8"/>
  <c r="AF16" i="8"/>
  <c r="Z16" i="8"/>
  <c r="T16" i="8"/>
  <c r="CI15" i="8"/>
  <c r="CC15" i="8"/>
  <c r="BW15" i="8"/>
  <c r="BQ15" i="8"/>
  <c r="BJ15" i="8"/>
  <c r="BD15" i="8"/>
  <c r="AX15" i="8"/>
  <c r="AR15" i="8"/>
  <c r="AL15" i="8"/>
  <c r="AF15" i="8"/>
  <c r="Z15" i="8"/>
  <c r="T15" i="8"/>
  <c r="CI14" i="8"/>
  <c r="CC14" i="8"/>
  <c r="BW14" i="8"/>
  <c r="BQ14" i="8"/>
  <c r="BJ14" i="8"/>
  <c r="BD14" i="8"/>
  <c r="AX14" i="8"/>
  <c r="AR14" i="8"/>
  <c r="AL14" i="8"/>
  <c r="AF14" i="8"/>
  <c r="Z14" i="8"/>
  <c r="T14" i="8"/>
  <c r="CI13" i="8"/>
  <c r="CC13" i="8"/>
  <c r="BW13" i="8"/>
  <c r="BQ13" i="8"/>
  <c r="BJ13" i="8"/>
  <c r="BD13" i="8"/>
  <c r="AX13" i="8"/>
  <c r="AR13" i="8"/>
  <c r="AL13" i="8"/>
  <c r="AF13" i="8"/>
  <c r="Z13" i="8"/>
  <c r="T13" i="8"/>
  <c r="CI12" i="8"/>
  <c r="CC12" i="8"/>
  <c r="BW12" i="8"/>
  <c r="BQ12" i="8"/>
  <c r="BJ12" i="8"/>
  <c r="BD12" i="8"/>
  <c r="AX12" i="8"/>
  <c r="AR12" i="8"/>
  <c r="AL12" i="8"/>
  <c r="AF12" i="8"/>
  <c r="Z12" i="8"/>
  <c r="T12" i="8"/>
  <c r="CI11" i="8"/>
  <c r="CC11" i="8"/>
  <c r="BW11" i="8"/>
  <c r="BQ11" i="8"/>
  <c r="BJ11" i="8"/>
  <c r="BD11" i="8"/>
  <c r="AX11" i="8"/>
  <c r="AR11" i="8"/>
  <c r="AL11" i="8"/>
  <c r="AF11" i="8"/>
  <c r="Z11" i="8"/>
  <c r="T11" i="8"/>
  <c r="CI10" i="8"/>
  <c r="CC10" i="8"/>
  <c r="BW10" i="8"/>
  <c r="BQ10" i="8"/>
  <c r="BJ10" i="8"/>
  <c r="BD10" i="8"/>
  <c r="AX10" i="8"/>
  <c r="AR10" i="8"/>
  <c r="AL10" i="8"/>
  <c r="AF10" i="8"/>
  <c r="Z10" i="8"/>
  <c r="T10" i="8"/>
  <c r="CI9" i="8"/>
  <c r="CC9" i="8"/>
  <c r="BW9" i="8"/>
  <c r="BQ9" i="8"/>
  <c r="BJ9" i="8"/>
  <c r="BD9" i="8"/>
  <c r="AX9" i="8"/>
  <c r="AR9" i="8"/>
  <c r="AL9" i="8"/>
  <c r="AF9" i="8"/>
  <c r="Z9" i="8"/>
  <c r="T9" i="8"/>
  <c r="CI8" i="8"/>
  <c r="CC8" i="8"/>
  <c r="BW8" i="8"/>
  <c r="BQ8" i="8"/>
  <c r="BD8" i="8"/>
  <c r="AX8" i="8"/>
  <c r="AR8" i="8"/>
  <c r="AL8" i="8"/>
  <c r="AF8" i="8"/>
  <c r="Z8" i="8"/>
  <c r="T8" i="8"/>
  <c r="CI7" i="8"/>
  <c r="CC7" i="8"/>
  <c r="BW7" i="8"/>
  <c r="BQ7" i="8"/>
  <c r="BJ7" i="8"/>
  <c r="BD7" i="8"/>
  <c r="AX7" i="8"/>
  <c r="AR7" i="8"/>
  <c r="AL7" i="8"/>
  <c r="AF7" i="8"/>
  <c r="Z7" i="8"/>
  <c r="T7" i="8"/>
  <c r="CI6" i="8"/>
  <c r="CC6" i="8"/>
  <c r="BW6" i="8"/>
  <c r="BQ6" i="8"/>
  <c r="BJ6" i="8"/>
  <c r="BD6" i="8"/>
  <c r="AX6" i="8"/>
  <c r="AR6" i="8"/>
  <c r="AL6" i="8"/>
  <c r="AF6" i="8"/>
  <c r="Z6" i="8"/>
  <c r="T6" i="8"/>
  <c r="CI5" i="8"/>
  <c r="CC5" i="8"/>
  <c r="BW5" i="8"/>
  <c r="BQ5" i="8"/>
  <c r="BJ5" i="8"/>
  <c r="BD5" i="8"/>
  <c r="AX5" i="8"/>
  <c r="AR5" i="8"/>
  <c r="AL5" i="8"/>
  <c r="AF5" i="8"/>
  <c r="Z5" i="8"/>
  <c r="T5" i="8"/>
  <c r="CI4" i="8"/>
  <c r="CC4" i="8"/>
  <c r="BW4" i="8"/>
  <c r="BQ4" i="8"/>
  <c r="BJ4" i="8"/>
  <c r="BD4" i="8"/>
  <c r="AX4" i="8"/>
  <c r="AR4" i="8"/>
  <c r="AL4" i="8"/>
  <c r="AF4" i="8"/>
  <c r="Z4" i="8"/>
  <c r="T4" i="8"/>
  <c r="CE34" i="1"/>
  <c r="BY34" i="1"/>
  <c r="BS34" i="1"/>
  <c r="BM34" i="1"/>
  <c r="BF34" i="1"/>
  <c r="AZ34" i="1"/>
  <c r="AT34" i="1"/>
  <c r="AN34" i="1"/>
  <c r="AH34" i="1"/>
  <c r="AB34" i="1"/>
  <c r="V34" i="1"/>
  <c r="P34" i="1"/>
  <c r="CE33" i="1"/>
  <c r="BY33" i="1"/>
  <c r="BS33" i="1"/>
  <c r="BM33" i="1"/>
  <c r="BF33" i="1"/>
  <c r="AZ33" i="1"/>
  <c r="AT33" i="1"/>
  <c r="AN33" i="1"/>
  <c r="AH33" i="1"/>
  <c r="AB33" i="1"/>
  <c r="V33" i="1"/>
  <c r="P33" i="1"/>
  <c r="CE32" i="1"/>
  <c r="BY32" i="1"/>
  <c r="BS32" i="1"/>
  <c r="BM32" i="1"/>
  <c r="BF32" i="1"/>
  <c r="AZ32" i="1"/>
  <c r="AT32" i="1"/>
  <c r="AN32" i="1"/>
  <c r="AH32" i="1"/>
  <c r="AB32" i="1"/>
  <c r="V32" i="1"/>
  <c r="P32" i="1"/>
  <c r="CE31" i="1"/>
  <c r="BY31" i="1"/>
  <c r="BS31" i="1"/>
  <c r="BM31" i="1"/>
  <c r="BF31" i="1"/>
  <c r="AZ31" i="1"/>
  <c r="AT31" i="1"/>
  <c r="AN31" i="1"/>
  <c r="AH31" i="1"/>
  <c r="AB31" i="1"/>
  <c r="V31" i="1"/>
  <c r="P31" i="1"/>
  <c r="CE30" i="1"/>
  <c r="BY30" i="1"/>
  <c r="BS30" i="1"/>
  <c r="BM30" i="1"/>
  <c r="BF30" i="1"/>
  <c r="AZ30" i="1"/>
  <c r="AT30" i="1"/>
  <c r="AN30" i="1"/>
  <c r="AH30" i="1"/>
  <c r="AB30" i="1"/>
  <c r="V30" i="1"/>
  <c r="P30" i="1"/>
  <c r="CE29" i="1"/>
  <c r="BY29" i="1"/>
  <c r="BS29" i="1"/>
  <c r="BM29" i="1"/>
  <c r="BF29" i="1"/>
  <c r="AZ29" i="1"/>
  <c r="AT29" i="1"/>
  <c r="AN29" i="1"/>
  <c r="AH29" i="1"/>
  <c r="AB29" i="1"/>
  <c r="V29" i="1"/>
  <c r="P29" i="1"/>
  <c r="CE28" i="1"/>
  <c r="BY28" i="1"/>
  <c r="BS28" i="1"/>
  <c r="BM28" i="1"/>
  <c r="BF28" i="1"/>
  <c r="AZ28" i="1"/>
  <c r="AT28" i="1"/>
  <c r="AN28" i="1"/>
  <c r="AH28" i="1"/>
  <c r="AB28" i="1"/>
  <c r="V28" i="1"/>
  <c r="P28" i="1"/>
  <c r="CE27" i="1"/>
  <c r="BY27" i="1"/>
  <c r="BS27" i="1"/>
  <c r="BM27" i="1"/>
  <c r="BF27" i="1"/>
  <c r="AZ27" i="1"/>
  <c r="AT27" i="1"/>
  <c r="AN27" i="1"/>
  <c r="AH27" i="1"/>
  <c r="AB27" i="1"/>
  <c r="V27" i="1"/>
  <c r="P27" i="1"/>
  <c r="CE26" i="1"/>
  <c r="BY26" i="1"/>
  <c r="BS26" i="1"/>
  <c r="BM26" i="1"/>
  <c r="BF26" i="1"/>
  <c r="AZ26" i="1"/>
  <c r="AT26" i="1"/>
  <c r="AN26" i="1"/>
  <c r="AH26" i="1"/>
  <c r="AB26" i="1"/>
  <c r="V26" i="1"/>
  <c r="P26" i="1"/>
  <c r="CE25" i="1"/>
  <c r="BY25" i="1"/>
  <c r="BS25" i="1"/>
  <c r="BM25" i="1"/>
  <c r="BF25" i="1"/>
  <c r="AZ25" i="1"/>
  <c r="AT25" i="1"/>
  <c r="AN25" i="1"/>
  <c r="AH25" i="1"/>
  <c r="AB25" i="1"/>
  <c r="V25" i="1"/>
  <c r="P25" i="1"/>
  <c r="CE24" i="1"/>
  <c r="BY24" i="1"/>
  <c r="BS24" i="1"/>
  <c r="BM24" i="1"/>
  <c r="BF24" i="1"/>
  <c r="AZ24" i="1"/>
  <c r="AT24" i="1"/>
  <c r="AN24" i="1"/>
  <c r="AH24" i="1"/>
  <c r="AB24" i="1"/>
  <c r="V24" i="1"/>
  <c r="P24" i="1"/>
  <c r="CE23" i="1"/>
  <c r="BY23" i="1"/>
  <c r="BS23" i="1"/>
  <c r="BM23" i="1"/>
  <c r="BF23" i="1"/>
  <c r="AZ23" i="1"/>
  <c r="AT23" i="1"/>
  <c r="AN23" i="1"/>
  <c r="AH23" i="1"/>
  <c r="AB23" i="1"/>
  <c r="V23" i="1"/>
  <c r="P23" i="1"/>
  <c r="CE22" i="1"/>
  <c r="BY22" i="1"/>
  <c r="BS22" i="1"/>
  <c r="BM22" i="1"/>
  <c r="BF22" i="1"/>
  <c r="AZ22" i="1"/>
  <c r="AT22" i="1"/>
  <c r="AN22" i="1"/>
  <c r="AH22" i="1"/>
  <c r="AB22" i="1"/>
  <c r="V22" i="1"/>
  <c r="P22" i="1"/>
  <c r="CE21" i="1"/>
  <c r="BY21" i="1"/>
  <c r="BS21" i="1"/>
  <c r="BM21" i="1"/>
  <c r="BF21" i="1"/>
  <c r="AZ21" i="1"/>
  <c r="AT21" i="1"/>
  <c r="AN21" i="1"/>
  <c r="AH21" i="1"/>
  <c r="AB21" i="1"/>
  <c r="V21" i="1"/>
  <c r="P21" i="1"/>
  <c r="CE20" i="1"/>
  <c r="BY20" i="1"/>
  <c r="BS20" i="1"/>
  <c r="BM20" i="1"/>
  <c r="BF20" i="1"/>
  <c r="AZ20" i="1"/>
  <c r="AT20" i="1"/>
  <c r="AN20" i="1"/>
  <c r="AH20" i="1"/>
  <c r="AB20" i="1"/>
  <c r="V20" i="1"/>
  <c r="P20" i="1"/>
  <c r="CE19" i="1"/>
  <c r="BY19" i="1"/>
  <c r="BS19" i="1"/>
  <c r="BM19" i="1"/>
  <c r="BF19" i="1"/>
  <c r="AZ19" i="1"/>
  <c r="AT19" i="1"/>
  <c r="AN19" i="1"/>
  <c r="AH19" i="1"/>
  <c r="AB19" i="1"/>
  <c r="V19" i="1"/>
  <c r="P19" i="1"/>
  <c r="CE18" i="1"/>
  <c r="BY18" i="1"/>
  <c r="BS18" i="1"/>
  <c r="BM18" i="1"/>
  <c r="BF18" i="1"/>
  <c r="AZ18" i="1"/>
  <c r="AT18" i="1"/>
  <c r="AN18" i="1"/>
  <c r="AH18" i="1"/>
  <c r="AB18" i="1"/>
  <c r="V18" i="1"/>
  <c r="P18" i="1"/>
  <c r="CE17" i="1"/>
  <c r="BY17" i="1"/>
  <c r="BS17" i="1"/>
  <c r="BM17" i="1"/>
  <c r="BF17" i="1"/>
  <c r="AZ17" i="1"/>
  <c r="AT17" i="1"/>
  <c r="AN17" i="1"/>
  <c r="AH17" i="1"/>
  <c r="AB17" i="1"/>
  <c r="V17" i="1"/>
  <c r="P17" i="1"/>
  <c r="CE16" i="1"/>
  <c r="BY16" i="1"/>
  <c r="BS16" i="1"/>
  <c r="BM16" i="1"/>
  <c r="BF16" i="1"/>
  <c r="AZ16" i="1"/>
  <c r="AT16" i="1"/>
  <c r="AN16" i="1"/>
  <c r="AH16" i="1"/>
  <c r="AB16" i="1"/>
  <c r="V16" i="1"/>
  <c r="P16" i="1"/>
  <c r="CE15" i="1"/>
  <c r="BY15" i="1"/>
  <c r="BS15" i="1"/>
  <c r="BM15" i="1"/>
  <c r="BF15" i="1"/>
  <c r="AZ15" i="1"/>
  <c r="AT15" i="1"/>
  <c r="AN15" i="1"/>
  <c r="AH15" i="1"/>
  <c r="AB15" i="1"/>
  <c r="V15" i="1"/>
  <c r="P15" i="1"/>
  <c r="CE14" i="1"/>
  <c r="BY14" i="1"/>
  <c r="BS14" i="1"/>
  <c r="BM14" i="1"/>
  <c r="BF14" i="1"/>
  <c r="AZ14" i="1"/>
  <c r="AT14" i="1"/>
  <c r="AN14" i="1"/>
  <c r="AH14" i="1"/>
  <c r="AB14" i="1"/>
  <c r="V14" i="1"/>
  <c r="P14" i="1"/>
  <c r="CE13" i="1"/>
  <c r="BY13" i="1"/>
  <c r="BS13" i="1"/>
  <c r="BM13" i="1"/>
  <c r="BF13" i="1"/>
  <c r="AZ13" i="1"/>
  <c r="AT13" i="1"/>
  <c r="AN13" i="1"/>
  <c r="AH13" i="1"/>
  <c r="AB13" i="1"/>
  <c r="V13" i="1"/>
  <c r="P13" i="1"/>
  <c r="CE12" i="1"/>
  <c r="BY12" i="1"/>
  <c r="BS12" i="1"/>
  <c r="BM12" i="1"/>
  <c r="BF12" i="1"/>
  <c r="AZ12" i="1"/>
  <c r="AT12" i="1"/>
  <c r="AN12" i="1"/>
  <c r="AH12" i="1"/>
  <c r="AB12" i="1"/>
  <c r="V12" i="1"/>
  <c r="P12" i="1"/>
  <c r="CE11" i="1"/>
  <c r="BY11" i="1"/>
  <c r="BS11" i="1"/>
  <c r="BM11" i="1"/>
  <c r="BF11" i="1"/>
  <c r="AZ11" i="1"/>
  <c r="AT11" i="1"/>
  <c r="AN11" i="1"/>
  <c r="AH11" i="1"/>
  <c r="AB11" i="1"/>
  <c r="V11" i="1"/>
  <c r="P11" i="1"/>
  <c r="CE10" i="1"/>
  <c r="BY10" i="1"/>
  <c r="BS10" i="1"/>
  <c r="BM10" i="1"/>
  <c r="BF10" i="1"/>
  <c r="AZ10" i="1"/>
  <c r="AT10" i="1"/>
  <c r="AN10" i="1"/>
  <c r="AH10" i="1"/>
  <c r="AB10" i="1"/>
  <c r="V10" i="1"/>
  <c r="P10" i="1"/>
  <c r="CE9" i="1"/>
  <c r="BY9" i="1"/>
  <c r="BS9" i="1"/>
  <c r="BM9" i="1"/>
  <c r="BF9" i="1"/>
  <c r="AZ9" i="1"/>
  <c r="AT9" i="1"/>
  <c r="AN9" i="1"/>
  <c r="AH9" i="1"/>
  <c r="AB9" i="1"/>
  <c r="V9" i="1"/>
  <c r="P9" i="1"/>
  <c r="CE8" i="1"/>
  <c r="BY8" i="1"/>
  <c r="BS8" i="1"/>
  <c r="BM8" i="1"/>
  <c r="BF8" i="1"/>
  <c r="AZ8" i="1"/>
  <c r="AT8" i="1"/>
  <c r="AN8" i="1"/>
  <c r="AH8" i="1"/>
  <c r="AB8" i="1"/>
  <c r="V8" i="1"/>
  <c r="P8" i="1"/>
  <c r="CE7" i="1"/>
  <c r="BY7" i="1"/>
  <c r="BS7" i="1"/>
  <c r="BM7" i="1"/>
  <c r="BF7" i="1"/>
  <c r="AZ7" i="1"/>
  <c r="AT7" i="1"/>
  <c r="AN7" i="1"/>
  <c r="AH7" i="1"/>
  <c r="AB7" i="1"/>
  <c r="V7" i="1"/>
  <c r="P7" i="1"/>
  <c r="CE6" i="1"/>
  <c r="BY6" i="1"/>
  <c r="BS6" i="1"/>
  <c r="BM6" i="1"/>
  <c r="BF6" i="1"/>
  <c r="AZ6" i="1"/>
  <c r="AT6" i="1"/>
  <c r="AN6" i="1"/>
  <c r="AH6" i="1"/>
  <c r="AB6" i="1"/>
  <c r="V6" i="1"/>
  <c r="P6" i="1"/>
  <c r="CE5" i="1"/>
  <c r="BY5" i="1"/>
  <c r="BS5" i="1"/>
  <c r="BM5" i="1"/>
  <c r="BF5" i="1"/>
  <c r="AZ5" i="1"/>
  <c r="AT5" i="1"/>
  <c r="AN5" i="1"/>
  <c r="AH5" i="1"/>
  <c r="AB5" i="1"/>
  <c r="V5" i="1"/>
  <c r="P5" i="1"/>
  <c r="CE4" i="1"/>
  <c r="BY4" i="1"/>
  <c r="BS4" i="1"/>
  <c r="BM4" i="1"/>
  <c r="BF4" i="1"/>
  <c r="AZ4" i="1"/>
  <c r="AT4" i="1"/>
  <c r="AN4" i="1"/>
  <c r="AH4" i="1"/>
  <c r="AB4" i="1"/>
  <c r="V4" i="1"/>
  <c r="P4" i="1"/>
  <c r="CJ39" i="2"/>
  <c r="CD39" i="2"/>
  <c r="BX39" i="2"/>
  <c r="BR39" i="2"/>
  <c r="BK39" i="2"/>
  <c r="BE39" i="2"/>
  <c r="AY39" i="2"/>
  <c r="AS39" i="2"/>
  <c r="AM39" i="2"/>
  <c r="AG39" i="2"/>
  <c r="AA39" i="2"/>
  <c r="U39" i="2"/>
  <c r="CJ38" i="2"/>
  <c r="CD38" i="2"/>
  <c r="BX38" i="2"/>
  <c r="BR38" i="2"/>
  <c r="BK38" i="2"/>
  <c r="BE38" i="2"/>
  <c r="AY38" i="2"/>
  <c r="AS38" i="2"/>
  <c r="AM38" i="2"/>
  <c r="AA38" i="2"/>
  <c r="U38" i="2"/>
  <c r="CJ37" i="2"/>
  <c r="CD37" i="2"/>
  <c r="BK37" i="2"/>
  <c r="BE37" i="2"/>
  <c r="AY37" i="2"/>
  <c r="AS37" i="2"/>
  <c r="AM37" i="2"/>
  <c r="AG37" i="2"/>
  <c r="AA37" i="2"/>
  <c r="U37" i="2"/>
  <c r="CJ36" i="2"/>
  <c r="CD36" i="2"/>
  <c r="BX36" i="2"/>
  <c r="BR36" i="2"/>
  <c r="BK36" i="2"/>
  <c r="BE36" i="2"/>
  <c r="AY36" i="2"/>
  <c r="AS36" i="2"/>
  <c r="AM36" i="2"/>
  <c r="AG36" i="2"/>
  <c r="AA36" i="2"/>
  <c r="U36" i="2"/>
  <c r="CJ35" i="2"/>
  <c r="CD35" i="2"/>
  <c r="BX35" i="2"/>
  <c r="BR35" i="2"/>
  <c r="BK35" i="2"/>
  <c r="BE35" i="2"/>
  <c r="AY35" i="2"/>
  <c r="AS35" i="2"/>
  <c r="AM35" i="2"/>
  <c r="AG35" i="2"/>
  <c r="AA35" i="2"/>
  <c r="U35" i="2"/>
  <c r="CJ34" i="2"/>
  <c r="CD34" i="2"/>
  <c r="BX34" i="2"/>
  <c r="BR34" i="2"/>
  <c r="BK34" i="2"/>
  <c r="BE34" i="2"/>
  <c r="AY34" i="2"/>
  <c r="AS34" i="2"/>
  <c r="AM34" i="2"/>
  <c r="AA34" i="2"/>
  <c r="U34" i="2"/>
  <c r="CJ33" i="2"/>
  <c r="CD33" i="2"/>
  <c r="BX33" i="2"/>
  <c r="BR33" i="2"/>
  <c r="BK33" i="2"/>
  <c r="BE33" i="2"/>
  <c r="AY33" i="2"/>
  <c r="AS33" i="2"/>
  <c r="AM33" i="2"/>
  <c r="AG33" i="2"/>
  <c r="AA33" i="2"/>
  <c r="U33" i="2"/>
  <c r="CJ32" i="2"/>
  <c r="CD32" i="2"/>
  <c r="BX32" i="2"/>
  <c r="BR32" i="2"/>
  <c r="BK32" i="2"/>
  <c r="BE32" i="2"/>
  <c r="AY32" i="2"/>
  <c r="AS32" i="2"/>
  <c r="AM32" i="2"/>
  <c r="AG32" i="2"/>
  <c r="AA32" i="2"/>
  <c r="U32" i="2"/>
  <c r="CJ31" i="2"/>
  <c r="CD31" i="2"/>
  <c r="BX31" i="2"/>
  <c r="BR31" i="2"/>
  <c r="BK31" i="2"/>
  <c r="BE31" i="2"/>
  <c r="AY31" i="2"/>
  <c r="AS31" i="2"/>
  <c r="AM31" i="2"/>
  <c r="AG31" i="2"/>
  <c r="AA31" i="2"/>
  <c r="U31" i="2"/>
  <c r="CJ30" i="2"/>
  <c r="CD30" i="2"/>
  <c r="BX30" i="2"/>
  <c r="BR30" i="2"/>
  <c r="BK30" i="2"/>
  <c r="BE30" i="2"/>
  <c r="AY30" i="2"/>
  <c r="AS30" i="2"/>
  <c r="AM30" i="2"/>
  <c r="AG30" i="2"/>
  <c r="AA30" i="2"/>
  <c r="U30" i="2"/>
  <c r="CJ29" i="2"/>
  <c r="CD29" i="2"/>
  <c r="BX29" i="2"/>
  <c r="BR29" i="2"/>
  <c r="BK29" i="2"/>
  <c r="BE29" i="2"/>
  <c r="AY29" i="2"/>
  <c r="AS29" i="2"/>
  <c r="AM29" i="2"/>
  <c r="AG29" i="2"/>
  <c r="AA29" i="2"/>
  <c r="U29" i="2"/>
  <c r="CJ28" i="2"/>
  <c r="CD28" i="2"/>
  <c r="BX28" i="2"/>
  <c r="BR28" i="2"/>
  <c r="BK28" i="2"/>
  <c r="BE28" i="2"/>
  <c r="AY28" i="2"/>
  <c r="AS28" i="2"/>
  <c r="AM28" i="2"/>
  <c r="AG28" i="2"/>
  <c r="AA28" i="2"/>
  <c r="U28" i="2"/>
  <c r="CJ27" i="2"/>
  <c r="CD27" i="2"/>
  <c r="BX27" i="2"/>
  <c r="BR27" i="2"/>
  <c r="BK27" i="2"/>
  <c r="BE27" i="2"/>
  <c r="AY27" i="2"/>
  <c r="AS27" i="2"/>
  <c r="AM27" i="2"/>
  <c r="AG27" i="2"/>
  <c r="AA27" i="2"/>
  <c r="U27" i="2"/>
  <c r="CJ26" i="2"/>
  <c r="CD26" i="2"/>
  <c r="BX26" i="2"/>
  <c r="BR26" i="2"/>
  <c r="BK26" i="2"/>
  <c r="BE26" i="2"/>
  <c r="AY26" i="2"/>
  <c r="AS26" i="2"/>
  <c r="AM26" i="2"/>
  <c r="AG26" i="2"/>
  <c r="AA26" i="2"/>
  <c r="U26" i="2"/>
  <c r="CJ25" i="2"/>
  <c r="CD25" i="2"/>
  <c r="BX25" i="2"/>
  <c r="BR25" i="2"/>
  <c r="BK25" i="2"/>
  <c r="BE25" i="2"/>
  <c r="AY25" i="2"/>
  <c r="AS25" i="2"/>
  <c r="AM25" i="2"/>
  <c r="AG25" i="2"/>
  <c r="AA25" i="2"/>
  <c r="U25" i="2"/>
  <c r="CJ24" i="2"/>
  <c r="CD24" i="2"/>
  <c r="BX24" i="2"/>
  <c r="BR24" i="2"/>
  <c r="BK24" i="2"/>
  <c r="BE24" i="2"/>
  <c r="AY24" i="2"/>
  <c r="AS24" i="2"/>
  <c r="AM24" i="2"/>
  <c r="AG24" i="2"/>
  <c r="AA24" i="2"/>
  <c r="U24" i="2"/>
  <c r="CJ23" i="2"/>
  <c r="CD23" i="2"/>
  <c r="BX23" i="2"/>
  <c r="BR23" i="2"/>
  <c r="BK23" i="2"/>
  <c r="BE23" i="2"/>
  <c r="AY23" i="2"/>
  <c r="AS23" i="2"/>
  <c r="AM23" i="2"/>
  <c r="AG23" i="2"/>
  <c r="AA23" i="2"/>
  <c r="U23" i="2"/>
  <c r="CJ22" i="2"/>
  <c r="CD22" i="2"/>
  <c r="BX22" i="2"/>
  <c r="BR22" i="2"/>
  <c r="BK22" i="2"/>
  <c r="BE22" i="2"/>
  <c r="AY22" i="2"/>
  <c r="AS22" i="2"/>
  <c r="AM22" i="2"/>
  <c r="AG22" i="2"/>
  <c r="AA22" i="2"/>
  <c r="U22" i="2"/>
  <c r="CJ21" i="2"/>
  <c r="CD21" i="2"/>
  <c r="BX21" i="2"/>
  <c r="BR21" i="2"/>
  <c r="BK21" i="2"/>
  <c r="BE21" i="2"/>
  <c r="AY21" i="2"/>
  <c r="AS21" i="2"/>
  <c r="AM21" i="2"/>
  <c r="AG21" i="2"/>
  <c r="AA21" i="2"/>
  <c r="U21" i="2"/>
  <c r="CJ20" i="2"/>
  <c r="CD20" i="2"/>
  <c r="BX20" i="2"/>
  <c r="BR20" i="2"/>
  <c r="BK20" i="2"/>
  <c r="BE20" i="2"/>
  <c r="AY20" i="2"/>
  <c r="AS20" i="2"/>
  <c r="AM20" i="2"/>
  <c r="AG20" i="2"/>
  <c r="AA20" i="2"/>
  <c r="U20" i="2"/>
  <c r="CJ19" i="2"/>
  <c r="CD19" i="2"/>
  <c r="BX19" i="2"/>
  <c r="BR19" i="2"/>
  <c r="BK19" i="2"/>
  <c r="BE19" i="2"/>
  <c r="AY19" i="2"/>
  <c r="AS19" i="2"/>
  <c r="AM19" i="2"/>
  <c r="AG19" i="2"/>
  <c r="AA19" i="2"/>
  <c r="U19" i="2"/>
  <c r="CJ18" i="2"/>
  <c r="CD18" i="2"/>
  <c r="BX18" i="2"/>
  <c r="BR18" i="2"/>
  <c r="BK18" i="2"/>
  <c r="BE18" i="2"/>
  <c r="AY18" i="2"/>
  <c r="AS18" i="2"/>
  <c r="AM18" i="2"/>
  <c r="AG18" i="2"/>
  <c r="AA18" i="2"/>
  <c r="U18" i="2"/>
  <c r="CJ17" i="2"/>
  <c r="CD17" i="2"/>
  <c r="BX17" i="2"/>
  <c r="BR17" i="2"/>
  <c r="BK17" i="2"/>
  <c r="BE17" i="2"/>
  <c r="AY17" i="2"/>
  <c r="AS17" i="2"/>
  <c r="AM17" i="2"/>
  <c r="AG17" i="2"/>
  <c r="AA17" i="2"/>
  <c r="U17" i="2"/>
  <c r="CJ16" i="2"/>
  <c r="CD16" i="2"/>
  <c r="BX16" i="2"/>
  <c r="BR16" i="2"/>
  <c r="BK16" i="2"/>
  <c r="BE16" i="2"/>
  <c r="AY16" i="2"/>
  <c r="AS16" i="2"/>
  <c r="AM16" i="2"/>
  <c r="AG16" i="2"/>
  <c r="AA16" i="2"/>
  <c r="U16" i="2"/>
  <c r="CJ15" i="2"/>
  <c r="CD15" i="2"/>
  <c r="BX15" i="2"/>
  <c r="BR15" i="2"/>
  <c r="BK15" i="2"/>
  <c r="BE15" i="2"/>
  <c r="AY15" i="2"/>
  <c r="AS15" i="2"/>
  <c r="AM15" i="2"/>
  <c r="AG15" i="2"/>
  <c r="AA15" i="2"/>
  <c r="U15" i="2"/>
  <c r="CJ14" i="2"/>
  <c r="CD14" i="2"/>
  <c r="BX14" i="2"/>
  <c r="BR14" i="2"/>
  <c r="BK14" i="2"/>
  <c r="BE14" i="2"/>
  <c r="AY14" i="2"/>
  <c r="AS14" i="2"/>
  <c r="AM14" i="2"/>
  <c r="AG14" i="2"/>
  <c r="AA14" i="2"/>
  <c r="U14" i="2"/>
  <c r="CJ13" i="2"/>
  <c r="CD13" i="2"/>
  <c r="BX13" i="2"/>
  <c r="BR13" i="2"/>
  <c r="BK13" i="2"/>
  <c r="BE13" i="2"/>
  <c r="AY13" i="2"/>
  <c r="AS13" i="2"/>
  <c r="AM13" i="2"/>
  <c r="AG13" i="2"/>
  <c r="AA13" i="2"/>
  <c r="U13" i="2"/>
  <c r="CJ12" i="2"/>
  <c r="CD12" i="2"/>
  <c r="BX12" i="2"/>
  <c r="BR12" i="2"/>
  <c r="BK12" i="2"/>
  <c r="BE12" i="2"/>
  <c r="AY12" i="2"/>
  <c r="AS12" i="2"/>
  <c r="AM12" i="2"/>
  <c r="AG12" i="2"/>
  <c r="AA12" i="2"/>
  <c r="U12" i="2"/>
  <c r="CJ11" i="2"/>
  <c r="CD11" i="2"/>
  <c r="BX11" i="2"/>
  <c r="BR11" i="2"/>
  <c r="BK11" i="2"/>
  <c r="BE11" i="2"/>
  <c r="AY11" i="2"/>
  <c r="AS11" i="2"/>
  <c r="AM11" i="2"/>
  <c r="AG11" i="2"/>
  <c r="AA11" i="2"/>
  <c r="U11" i="2"/>
  <c r="CJ10" i="2"/>
  <c r="CD10" i="2"/>
  <c r="BX10" i="2"/>
  <c r="BR10" i="2"/>
  <c r="BK10" i="2"/>
  <c r="BE10" i="2"/>
  <c r="AY10" i="2"/>
  <c r="AS10" i="2"/>
  <c r="AM10" i="2"/>
  <c r="AG10" i="2"/>
  <c r="AA10" i="2"/>
  <c r="U10" i="2"/>
  <c r="CJ9" i="2"/>
  <c r="CD9" i="2"/>
  <c r="BX9" i="2"/>
  <c r="BR9" i="2"/>
  <c r="BK9" i="2"/>
  <c r="BE9" i="2"/>
  <c r="AY9" i="2"/>
  <c r="AS9" i="2"/>
  <c r="AM9" i="2"/>
  <c r="AG9" i="2"/>
  <c r="AA9" i="2"/>
  <c r="U9" i="2"/>
  <c r="CJ8" i="2"/>
  <c r="CD8" i="2"/>
  <c r="BX8" i="2"/>
  <c r="BR8" i="2"/>
  <c r="BK8" i="2"/>
  <c r="BE8" i="2"/>
  <c r="AY8" i="2"/>
  <c r="AS8" i="2"/>
  <c r="AM8" i="2"/>
  <c r="AG8" i="2"/>
  <c r="AA8" i="2"/>
  <c r="U8" i="2"/>
  <c r="CJ7" i="2"/>
  <c r="CD7" i="2"/>
  <c r="BX7" i="2"/>
  <c r="BR7" i="2"/>
  <c r="BK7" i="2"/>
  <c r="BE7" i="2"/>
  <c r="AY7" i="2"/>
  <c r="AS7" i="2"/>
  <c r="AM7" i="2"/>
  <c r="AG7" i="2"/>
  <c r="AA7" i="2"/>
  <c r="U7" i="2"/>
  <c r="CJ6" i="2"/>
  <c r="CD6" i="2"/>
  <c r="BX6" i="2"/>
  <c r="BR6" i="2"/>
  <c r="BK6" i="2"/>
  <c r="BE6" i="2"/>
  <c r="AY6" i="2"/>
  <c r="AS6" i="2"/>
  <c r="AM6" i="2"/>
  <c r="AG6" i="2"/>
  <c r="AA6" i="2"/>
  <c r="U6" i="2"/>
  <c r="CJ5" i="2"/>
  <c r="CD5" i="2"/>
  <c r="BX5" i="2"/>
  <c r="BR5" i="2"/>
  <c r="BK5" i="2"/>
  <c r="BE5" i="2"/>
  <c r="AY5" i="2"/>
  <c r="AS5" i="2"/>
  <c r="AM5" i="2"/>
  <c r="AG5" i="2"/>
  <c r="AA5" i="2"/>
  <c r="U5" i="2"/>
  <c r="CJ4" i="2"/>
  <c r="CD4" i="2"/>
  <c r="BX4" i="2"/>
  <c r="BR4" i="2"/>
  <c r="BK4" i="2"/>
  <c r="BE4" i="2"/>
  <c r="AY4" i="2"/>
  <c r="AS4" i="2"/>
  <c r="AM4" i="2"/>
  <c r="AG4" i="2"/>
  <c r="AA4" i="2"/>
  <c r="U4" i="2"/>
  <c r="BU19" i="4"/>
  <c r="BH38" i="4"/>
  <c r="BH41" i="4"/>
  <c r="BB41" i="4"/>
  <c r="AV41" i="4"/>
  <c r="AP41" i="4"/>
  <c r="AJ41" i="4"/>
  <c r="AD41" i="4"/>
  <c r="X41" i="4"/>
  <c r="R41" i="4"/>
  <c r="CG41" i="4"/>
  <c r="CA41" i="4"/>
  <c r="BU41" i="4"/>
  <c r="BO41" i="4"/>
  <c r="BB33" i="4"/>
  <c r="BO17" i="4"/>
  <c r="K25" i="4"/>
  <c r="BH40" i="4"/>
  <c r="BH39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B40" i="4"/>
  <c r="BB39" i="4"/>
  <c r="BB38" i="4"/>
  <c r="BB37" i="4"/>
  <c r="BB36" i="4"/>
  <c r="BB35" i="4"/>
  <c r="BB34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AV40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J40" i="4"/>
  <c r="AJ39" i="4"/>
  <c r="AJ38" i="4"/>
  <c r="AJ37" i="4"/>
  <c r="AJ36" i="4"/>
  <c r="AJ35" i="4"/>
  <c r="AJ34" i="4"/>
  <c r="AJ33" i="4"/>
  <c r="AJ32" i="4"/>
  <c r="AJ31" i="4"/>
  <c r="K31" i="4" s="1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K9" i="4" s="1"/>
  <c r="AJ8" i="4"/>
  <c r="AJ7" i="4"/>
  <c r="AJ6" i="4"/>
  <c r="AJ5" i="4"/>
  <c r="AJ4" i="4"/>
  <c r="AD40" i="4"/>
  <c r="AD39" i="4"/>
  <c r="AD38" i="4"/>
  <c r="AD37" i="4"/>
  <c r="AD36" i="4"/>
  <c r="K36" i="4" s="1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X40" i="4"/>
  <c r="X39" i="4"/>
  <c r="X38" i="4"/>
  <c r="X37" i="4"/>
  <c r="X36" i="4"/>
  <c r="X35" i="4"/>
  <c r="X34" i="4"/>
  <c r="X33" i="4"/>
  <c r="X32" i="4"/>
  <c r="X31" i="4"/>
  <c r="X30" i="4"/>
  <c r="X29" i="4"/>
  <c r="K29" i="4" s="1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K24" i="4" s="1"/>
  <c r="R23" i="4"/>
  <c r="K23" i="4" s="1"/>
  <c r="R22" i="4"/>
  <c r="K22" i="4" s="1"/>
  <c r="R21" i="4"/>
  <c r="R20" i="4"/>
  <c r="R19" i="4"/>
  <c r="R18" i="4"/>
  <c r="K18" i="4" s="1"/>
  <c r="R17" i="4"/>
  <c r="R16" i="4"/>
  <c r="R15" i="4"/>
  <c r="R14" i="4"/>
  <c r="K14" i="4" s="1"/>
  <c r="R13" i="4"/>
  <c r="R12" i="4"/>
  <c r="K12" i="4" s="1"/>
  <c r="R11" i="4"/>
  <c r="R10" i="4"/>
  <c r="K10" i="4" s="1"/>
  <c r="R9" i="4"/>
  <c r="R8" i="4"/>
  <c r="R7" i="4"/>
  <c r="R6" i="4"/>
  <c r="R5" i="4"/>
  <c r="R4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G6" i="4"/>
  <c r="CG5" i="4"/>
  <c r="CG4" i="4"/>
  <c r="CA4" i="4"/>
  <c r="CA40" i="4"/>
  <c r="CA39" i="4"/>
  <c r="CA38" i="4"/>
  <c r="CA37" i="4"/>
  <c r="CA36" i="4"/>
  <c r="CA35" i="4"/>
  <c r="CA34" i="4"/>
  <c r="CA33" i="4"/>
  <c r="CA32" i="4"/>
  <c r="CA31" i="4"/>
  <c r="CA30" i="4"/>
  <c r="CA29" i="4"/>
  <c r="CA28" i="4"/>
  <c r="CA27" i="4"/>
  <c r="CA26" i="4"/>
  <c r="CA25" i="4"/>
  <c r="CA24" i="4"/>
  <c r="CA23" i="4"/>
  <c r="CA22" i="4"/>
  <c r="CA21" i="4"/>
  <c r="CA20" i="4"/>
  <c r="CA19" i="4"/>
  <c r="CA18" i="4"/>
  <c r="CA17" i="4"/>
  <c r="CA16" i="4"/>
  <c r="CA15" i="4"/>
  <c r="CA14" i="4"/>
  <c r="CA13" i="4"/>
  <c r="CA12" i="4"/>
  <c r="CA11" i="4"/>
  <c r="CA10" i="4"/>
  <c r="CA9" i="4"/>
  <c r="CA8" i="4"/>
  <c r="CA7" i="4"/>
  <c r="CA6" i="4"/>
  <c r="CA5" i="4"/>
  <c r="BU40" i="4"/>
  <c r="BU39" i="4"/>
  <c r="BU38" i="4"/>
  <c r="BU37" i="4"/>
  <c r="BU36" i="4"/>
  <c r="BU35" i="4"/>
  <c r="BU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8" i="4"/>
  <c r="BU17" i="4"/>
  <c r="BU16" i="4"/>
  <c r="BU15" i="4"/>
  <c r="BU14" i="4"/>
  <c r="BU13" i="4"/>
  <c r="BU12" i="4"/>
  <c r="BU11" i="4"/>
  <c r="BU10" i="4"/>
  <c r="BU9" i="4"/>
  <c r="BU8" i="4"/>
  <c r="BU7" i="4"/>
  <c r="BU6" i="4"/>
  <c r="BU5" i="4"/>
  <c r="BU4" i="4"/>
  <c r="BO40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6" i="4"/>
  <c r="BO15" i="4"/>
  <c r="BO14" i="4"/>
  <c r="BO13" i="4"/>
  <c r="BO12" i="4"/>
  <c r="BO11" i="4"/>
  <c r="BO10" i="4"/>
  <c r="BO9" i="4"/>
  <c r="BO8" i="4"/>
  <c r="BO7" i="4"/>
  <c r="BO6" i="4"/>
  <c r="BO5" i="4"/>
  <c r="BO4" i="4"/>
  <c r="J44" i="7"/>
  <c r="L44" i="7"/>
  <c r="L41" i="6"/>
  <c r="I35" i="1" l="1"/>
  <c r="H35" i="1" s="1"/>
  <c r="G35" i="1" s="1"/>
  <c r="I20" i="1"/>
  <c r="H20" i="1" s="1"/>
  <c r="G20" i="1" s="1"/>
  <c r="I6" i="1"/>
  <c r="H6" i="1" s="1"/>
  <c r="G6" i="1" s="1"/>
  <c r="I17" i="1"/>
  <c r="H17" i="1" s="1"/>
  <c r="G17" i="1" s="1"/>
  <c r="I25" i="1"/>
  <c r="H25" i="1" s="1"/>
  <c r="G25" i="1" s="1"/>
  <c r="I23" i="1"/>
  <c r="H23" i="1" s="1"/>
  <c r="G23" i="1" s="1"/>
  <c r="I19" i="1"/>
  <c r="H19" i="1" s="1"/>
  <c r="G19" i="1" s="1"/>
  <c r="I9" i="1"/>
  <c r="H9" i="1" s="1"/>
  <c r="G9" i="1" s="1"/>
  <c r="I31" i="1"/>
  <c r="H31" i="1" s="1"/>
  <c r="G31" i="1" s="1"/>
  <c r="I4" i="1"/>
  <c r="H4" i="1" s="1"/>
  <c r="G4" i="1" s="1"/>
  <c r="I11" i="1"/>
  <c r="H11" i="1" s="1"/>
  <c r="G11" i="1" s="1"/>
  <c r="I28" i="1"/>
  <c r="H28" i="1" s="1"/>
  <c r="G28" i="1" s="1"/>
  <c r="I33" i="1"/>
  <c r="H33" i="1" s="1"/>
  <c r="G33" i="1" s="1"/>
  <c r="I29" i="1"/>
  <c r="H29" i="1" s="1"/>
  <c r="G29" i="1" s="1"/>
  <c r="I12" i="1"/>
  <c r="H12" i="1" s="1"/>
  <c r="G12" i="1" s="1"/>
  <c r="I24" i="1"/>
  <c r="H24" i="1" s="1"/>
  <c r="G24" i="1" s="1"/>
  <c r="I34" i="1"/>
  <c r="H34" i="1" s="1"/>
  <c r="G34" i="1" s="1"/>
  <c r="I26" i="1"/>
  <c r="H26" i="1" s="1"/>
  <c r="G26" i="1" s="1"/>
  <c r="I21" i="1"/>
  <c r="H21" i="1" s="1"/>
  <c r="G21" i="1" s="1"/>
  <c r="I5" i="1"/>
  <c r="H5" i="1" s="1"/>
  <c r="G5" i="1" s="1"/>
  <c r="I32" i="1"/>
  <c r="H32" i="1" s="1"/>
  <c r="G32" i="1" s="1"/>
  <c r="I15" i="1"/>
  <c r="H15" i="1" s="1"/>
  <c r="G15" i="1" s="1"/>
  <c r="I10" i="1"/>
  <c r="H10" i="1" s="1"/>
  <c r="G10" i="1" s="1"/>
  <c r="I13" i="1"/>
  <c r="H13" i="1" s="1"/>
  <c r="G13" i="1" s="1"/>
  <c r="I14" i="1"/>
  <c r="H14" i="1" s="1"/>
  <c r="G14" i="1" s="1"/>
  <c r="I18" i="1"/>
  <c r="H18" i="1" s="1"/>
  <c r="G18" i="1" s="1"/>
  <c r="I22" i="1"/>
  <c r="H22" i="1" s="1"/>
  <c r="G22" i="1" s="1"/>
  <c r="I7" i="1"/>
  <c r="H7" i="1" s="1"/>
  <c r="G7" i="1" s="1"/>
  <c r="I27" i="1"/>
  <c r="H27" i="1" s="1"/>
  <c r="G27" i="1" s="1"/>
  <c r="I8" i="1"/>
  <c r="H8" i="1" s="1"/>
  <c r="G8" i="1" s="1"/>
  <c r="I16" i="1"/>
  <c r="H16" i="1" s="1"/>
  <c r="G16" i="1" s="1"/>
  <c r="I30" i="1"/>
  <c r="H30" i="1" s="1"/>
  <c r="G30" i="1" s="1"/>
  <c r="K37" i="4"/>
  <c r="J37" i="4" s="1"/>
  <c r="I37" i="4" s="1"/>
  <c r="M6" i="8"/>
  <c r="L6" i="8" s="1"/>
  <c r="K6" i="8" s="1"/>
  <c r="M17" i="8"/>
  <c r="L17" i="8" s="1"/>
  <c r="K17" i="8" s="1"/>
  <c r="M10" i="8"/>
  <c r="L10" i="8" s="1"/>
  <c r="K10" i="8" s="1"/>
  <c r="M23" i="8"/>
  <c r="L23" i="8" s="1"/>
  <c r="K23" i="8" s="1"/>
  <c r="M12" i="8"/>
  <c r="L12" i="8" s="1"/>
  <c r="K12" i="8" s="1"/>
  <c r="M14" i="8"/>
  <c r="L14" i="8" s="1"/>
  <c r="K14" i="8" s="1"/>
  <c r="M8" i="8"/>
  <c r="L8" i="8" s="1"/>
  <c r="K8" i="8" s="1"/>
  <c r="M20" i="8"/>
  <c r="L20" i="8" s="1"/>
  <c r="K20" i="8" s="1"/>
  <c r="M9" i="8"/>
  <c r="L9" i="8" s="1"/>
  <c r="K9" i="8" s="1"/>
  <c r="M22" i="8"/>
  <c r="L22" i="8" s="1"/>
  <c r="K22" i="8" s="1"/>
  <c r="M4" i="8"/>
  <c r="L4" i="8" s="1"/>
  <c r="K4" i="8" s="1"/>
  <c r="M13" i="8"/>
  <c r="L13" i="8" s="1"/>
  <c r="K13" i="8" s="1"/>
  <c r="M16" i="8"/>
  <c r="L16" i="8" s="1"/>
  <c r="K16" i="8" s="1"/>
  <c r="M26" i="8"/>
  <c r="L26" i="8" s="1"/>
  <c r="K26" i="8" s="1"/>
  <c r="M18" i="8"/>
  <c r="L18" i="8" s="1"/>
  <c r="K18" i="8" s="1"/>
  <c r="M21" i="8"/>
  <c r="L21" i="8" s="1"/>
  <c r="K21" i="8" s="1"/>
  <c r="M7" i="8"/>
  <c r="L7" i="8" s="1"/>
  <c r="K7" i="8" s="1"/>
  <c r="M11" i="8"/>
  <c r="L11" i="8" s="1"/>
  <c r="K11" i="8" s="1"/>
  <c r="M24" i="8"/>
  <c r="L24" i="8" s="1"/>
  <c r="K24" i="8" s="1"/>
  <c r="M5" i="8"/>
  <c r="L5" i="8" s="1"/>
  <c r="K5" i="8" s="1"/>
  <c r="M19" i="8"/>
  <c r="L19" i="8" s="1"/>
  <c r="K19" i="8" s="1"/>
  <c r="M25" i="8"/>
  <c r="L25" i="8" s="1"/>
  <c r="K25" i="8" s="1"/>
  <c r="M15" i="8"/>
  <c r="L15" i="8" s="1"/>
  <c r="K15" i="8" s="1"/>
  <c r="N41" i="2"/>
  <c r="L41" i="2" s="1"/>
  <c r="N37" i="2"/>
  <c r="M37" i="2" s="1"/>
  <c r="J9" i="4"/>
  <c r="J31" i="4"/>
  <c r="J18" i="4"/>
  <c r="J25" i="4"/>
  <c r="J23" i="4"/>
  <c r="J24" i="4"/>
  <c r="K21" i="4"/>
  <c r="J21" i="4" s="1"/>
  <c r="J10" i="4"/>
  <c r="N15" i="2"/>
  <c r="M15" i="2" s="1"/>
  <c r="L15" i="2" s="1"/>
  <c r="N26" i="2"/>
  <c r="M26" i="2" s="1"/>
  <c r="L26" i="2" s="1"/>
  <c r="N17" i="2"/>
  <c r="M17" i="2" s="1"/>
  <c r="L17" i="2" s="1"/>
  <c r="N31" i="2"/>
  <c r="M31" i="2" s="1"/>
  <c r="L31" i="2" s="1"/>
  <c r="N21" i="2"/>
  <c r="M21" i="2" s="1"/>
  <c r="L21" i="2" s="1"/>
  <c r="N23" i="2"/>
  <c r="M23" i="2" s="1"/>
  <c r="N33" i="2"/>
  <c r="M33" i="2" s="1"/>
  <c r="L33" i="2" s="1"/>
  <c r="N24" i="2"/>
  <c r="M24" i="2" s="1"/>
  <c r="L24" i="2" s="1"/>
  <c r="N34" i="2"/>
  <c r="M34" i="2" s="1"/>
  <c r="L34" i="2" s="1"/>
  <c r="N9" i="2"/>
  <c r="M9" i="2" s="1"/>
  <c r="L9" i="2" s="1"/>
  <c r="N20" i="2"/>
  <c r="M20" i="2" s="1"/>
  <c r="N11" i="2"/>
  <c r="M11" i="2" s="1"/>
  <c r="L11" i="2" s="1"/>
  <c r="N4" i="2"/>
  <c r="M4" i="2" s="1"/>
  <c r="L4" i="2" s="1"/>
  <c r="N5" i="2"/>
  <c r="M5" i="2" s="1"/>
  <c r="L5" i="2" s="1"/>
  <c r="N14" i="2"/>
  <c r="M14" i="2" s="1"/>
  <c r="L14" i="2" s="1"/>
  <c r="N22" i="2"/>
  <c r="M22" i="2" s="1"/>
  <c r="L22" i="2" s="1"/>
  <c r="N28" i="2"/>
  <c r="M28" i="2" s="1"/>
  <c r="L28" i="2" s="1"/>
  <c r="N8" i="2"/>
  <c r="M8" i="2" s="1"/>
  <c r="L8" i="2" s="1"/>
  <c r="N27" i="2"/>
  <c r="M27" i="2" s="1"/>
  <c r="L27" i="2" s="1"/>
  <c r="N36" i="2"/>
  <c r="M36" i="2" s="1"/>
  <c r="L36" i="2" s="1"/>
  <c r="N25" i="2"/>
  <c r="M25" i="2" s="1"/>
  <c r="L25" i="2" s="1"/>
  <c r="N39" i="2"/>
  <c r="M39" i="2" s="1"/>
  <c r="L39" i="2" s="1"/>
  <c r="N18" i="2"/>
  <c r="M18" i="2" s="1"/>
  <c r="L18" i="2" s="1"/>
  <c r="N30" i="2"/>
  <c r="M30" i="2" s="1"/>
  <c r="L30" i="2" s="1"/>
  <c r="N35" i="2"/>
  <c r="M35" i="2" s="1"/>
  <c r="N16" i="2"/>
  <c r="M16" i="2" s="1"/>
  <c r="L16" i="2" s="1"/>
  <c r="N7" i="2"/>
  <c r="M7" i="2" s="1"/>
  <c r="L7" i="2" s="1"/>
  <c r="N19" i="2"/>
  <c r="M19" i="2" s="1"/>
  <c r="N38" i="2"/>
  <c r="M38" i="2" s="1"/>
  <c r="L38" i="2" s="1"/>
  <c r="N10" i="2"/>
  <c r="M10" i="2" s="1"/>
  <c r="L10" i="2" s="1"/>
  <c r="N29" i="2"/>
  <c r="M29" i="2" s="1"/>
  <c r="L29" i="2" s="1"/>
  <c r="N13" i="2"/>
  <c r="M13" i="2" s="1"/>
  <c r="L13" i="2" s="1"/>
  <c r="N32" i="2"/>
  <c r="M32" i="2" s="1"/>
  <c r="L32" i="2" s="1"/>
  <c r="N6" i="2"/>
  <c r="M6" i="2" s="1"/>
  <c r="L6" i="2" s="1"/>
  <c r="K6" i="4"/>
  <c r="J6" i="4" s="1"/>
  <c r="K15" i="4"/>
  <c r="J15" i="4" s="1"/>
  <c r="K32" i="4"/>
  <c r="J32" i="4" s="1"/>
  <c r="K19" i="4"/>
  <c r="J19" i="4" s="1"/>
  <c r="K5" i="4"/>
  <c r="J5" i="4" s="1"/>
  <c r="K20" i="4"/>
  <c r="J20" i="4" s="1"/>
  <c r="K34" i="4"/>
  <c r="J34" i="4" s="1"/>
  <c r="K35" i="4"/>
  <c r="J35" i="4" s="1"/>
  <c r="K38" i="4"/>
  <c r="J38" i="4" s="1"/>
  <c r="K8" i="4"/>
  <c r="J8" i="4" s="1"/>
  <c r="K40" i="4"/>
  <c r="J40" i="4" s="1"/>
  <c r="K13" i="4"/>
  <c r="J13" i="4" s="1"/>
  <c r="K7" i="4"/>
  <c r="J7" i="4" s="1"/>
  <c r="K41" i="4"/>
  <c r="J41" i="4" s="1"/>
  <c r="K33" i="4"/>
  <c r="J33" i="4" s="1"/>
  <c r="K4" i="4"/>
  <c r="J4" i="4" s="1"/>
  <c r="K27" i="4"/>
  <c r="J27" i="4" s="1"/>
  <c r="K39" i="4"/>
  <c r="J39" i="4" s="1"/>
  <c r="K28" i="4"/>
  <c r="J28" i="4" s="1"/>
  <c r="K30" i="4"/>
  <c r="J30" i="4" s="1"/>
  <c r="K11" i="4"/>
  <c r="J11" i="4" s="1"/>
  <c r="K26" i="4"/>
  <c r="J26" i="4" s="1"/>
  <c r="K17" i="4"/>
  <c r="J17" i="4" s="1"/>
  <c r="K16" i="4"/>
  <c r="J16" i="4" s="1"/>
  <c r="J12" i="4"/>
  <c r="J36" i="4"/>
  <c r="J29" i="4"/>
  <c r="J14" i="4"/>
  <c r="J22" i="4"/>
</calcChain>
</file>

<file path=xl/sharedStrings.xml><?xml version="1.0" encoding="utf-8"?>
<sst xmlns="http://schemas.openxmlformats.org/spreadsheetml/2006/main" count="1544" uniqueCount="883">
  <si>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</si>
  <si>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</si>
  <si>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</si>
  <si>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</si>
  <si>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</si>
  <si>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</si>
  <si>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</si>
  <si>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</si>
  <si>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</si>
  <si>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</si>
  <si>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</si>
  <si>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</si>
  <si>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</si>
  <si>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</si>
  <si>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 xml:space="preserve">26141228  </t>
  </si>
  <si>
    <t>ALEGRÍA SÁNCHEZ JOSELIN</t>
  </si>
  <si>
    <t xml:space="preserve">26141213  </t>
  </si>
  <si>
    <t>ARENAS DE LA ROSA AMAURY JAFET</t>
  </si>
  <si>
    <t xml:space="preserve">26141186  </t>
  </si>
  <si>
    <t>BARCENAS JIMENEZ JOSE IVAN</t>
  </si>
  <si>
    <t xml:space="preserve">26141721  </t>
  </si>
  <si>
    <t>CADENA IGLESIAS ALONSO</t>
  </si>
  <si>
    <t xml:space="preserve">26141201  </t>
  </si>
  <si>
    <t>CRUZ BALTAZAR GUILLERMO JESUS</t>
  </si>
  <si>
    <t xml:space="preserve">26141165  </t>
  </si>
  <si>
    <t>DIAZ VALDEZ MARISOL</t>
  </si>
  <si>
    <t xml:space="preserve">26141162  </t>
  </si>
  <si>
    <t>ESTRADA JUAREZ ANDREA</t>
  </si>
  <si>
    <t xml:space="preserve">26141171  </t>
  </si>
  <si>
    <t>FERRUSCA RODRÍGUEZ MARÍA EMILIA</t>
  </si>
  <si>
    <t xml:space="preserve">26141195  </t>
  </si>
  <si>
    <t>FRAGA MORALES JESSICA</t>
  </si>
  <si>
    <t xml:space="preserve">26141210  </t>
  </si>
  <si>
    <t>GARCIA URIBE ALAN DANIEL</t>
  </si>
  <si>
    <t xml:space="preserve">26141217  </t>
  </si>
  <si>
    <t>GARCÍA MEJÍA JOCELYN VALERIA</t>
  </si>
  <si>
    <t xml:space="preserve">26141180  </t>
  </si>
  <si>
    <t>GODOY GUILLÉN XIMENA</t>
  </si>
  <si>
    <t xml:space="preserve">26141216  </t>
  </si>
  <si>
    <t>HERNANDEZ CRUZ PAUL MATEO</t>
  </si>
  <si>
    <t xml:space="preserve">26141204  </t>
  </si>
  <si>
    <t>HERNÁNDEZ HERNÁNDEZ CAMILA</t>
  </si>
  <si>
    <t xml:space="preserve">26141192  </t>
  </si>
  <si>
    <t>HERNÁNDEZ MÁRQUEZ JESÚS JHONY</t>
  </si>
  <si>
    <t xml:space="preserve">26141168  </t>
  </si>
  <si>
    <t>LEDESMA HERRERA DULCE MARIANA</t>
  </si>
  <si>
    <t xml:space="preserve">26141189  </t>
  </si>
  <si>
    <t>LUNA LUNA JUAN JOSÉ</t>
  </si>
  <si>
    <t xml:space="preserve">26141711  </t>
  </si>
  <si>
    <t>MALDONADO LEDESMA PAOLA</t>
  </si>
  <si>
    <t xml:space="preserve">26141715  </t>
  </si>
  <si>
    <t>MONTES MARTINEZ RICARDO</t>
  </si>
  <si>
    <t xml:space="preserve">26141174  </t>
  </si>
  <si>
    <t>PALACIOS RIVERA MELANIE VALERIA</t>
  </si>
  <si>
    <t xml:space="preserve">26141718  </t>
  </si>
  <si>
    <t>PAREDES MORENO CÉSAR JACOB</t>
  </si>
  <si>
    <t xml:space="preserve">26141222  </t>
  </si>
  <si>
    <t>PEREZ GUERRERO CITLALI</t>
  </si>
  <si>
    <t xml:space="preserve">26141183  </t>
  </si>
  <si>
    <t>PEREZ TINAJERO JESSICA ALEJANDRA</t>
  </si>
  <si>
    <t xml:space="preserve">26141225  </t>
  </si>
  <si>
    <t>RAMÍREZ FLORES VANESSA</t>
  </si>
  <si>
    <t xml:space="preserve">26141207  </t>
  </si>
  <si>
    <t>RODRIGUEZ MONTES ITZEL LOURDES</t>
  </si>
  <si>
    <t xml:space="preserve">26141198  </t>
  </si>
  <si>
    <t>SALINAS GUDIÑO CHRISTOPHER DAVID</t>
  </si>
  <si>
    <t xml:space="preserve">26141156  </t>
  </si>
  <si>
    <t>SUAREZ SORIA JUAN ADRIEL</t>
  </si>
  <si>
    <t xml:space="preserve">26141177  </t>
  </si>
  <si>
    <t>SÁNCHEZ JIMÉNEZ OSWALDO</t>
  </si>
  <si>
    <t xml:space="preserve">26141138  </t>
  </si>
  <si>
    <t>TEODOSIO JIMENEZ ROXANA</t>
  </si>
  <si>
    <t xml:space="preserve">26141159  </t>
  </si>
  <si>
    <t>TREJO RODRÍGUEZ CAROL MELISSA</t>
  </si>
  <si>
    <t xml:space="preserve">26141219  </t>
  </si>
  <si>
    <t>VARGAS SUAREZ RODRIGO</t>
  </si>
  <si>
    <t>IND</t>
  </si>
  <si>
    <t>YAÑEZ MONTERO SIMON</t>
  </si>
  <si>
    <t xml:space="preserve">26140707  </t>
  </si>
  <si>
    <t>YAÑEZ MALDONADO FRANCISCO DE JESÚS</t>
  </si>
  <si>
    <t xml:space="preserve">26140677  </t>
  </si>
  <si>
    <t>VENTURA PEREZ ABIGAIL</t>
  </si>
  <si>
    <t xml:space="preserve">26140772  </t>
  </si>
  <si>
    <t>TOLEDANO FLORES HELENA</t>
  </si>
  <si>
    <t xml:space="preserve">26140697  </t>
  </si>
  <si>
    <t>SOLÍS DURÁN CÉSAR</t>
  </si>
  <si>
    <t xml:space="preserve">26140657  </t>
  </si>
  <si>
    <t>SANCHEZ SANCHEZ EMILIO</t>
  </si>
  <si>
    <t xml:space="preserve">26141655  </t>
  </si>
  <si>
    <t>ROSAS HERNÁNDEZ FRANCISCO</t>
  </si>
  <si>
    <t xml:space="preserve">26140667  </t>
  </si>
  <si>
    <t>RODRÍGUEZ IBARRA ÁNGEL</t>
  </si>
  <si>
    <t xml:space="preserve">26140722  </t>
  </si>
  <si>
    <t>RIVERA PUGA AXEL JAVAN</t>
  </si>
  <si>
    <t xml:space="preserve">26140627  </t>
  </si>
  <si>
    <t>RANGEL SERVIN BETSAIDA</t>
  </si>
  <si>
    <t xml:space="preserve">26140737  </t>
  </si>
  <si>
    <t>RAMIREZ ORTIZ MARIA DE LOS ANGELES</t>
  </si>
  <si>
    <t xml:space="preserve">26141650  </t>
  </si>
  <si>
    <t>RAMIREZ DE DIOS MONSERRAT ALEJANDRA</t>
  </si>
  <si>
    <t xml:space="preserve">26141670  </t>
  </si>
  <si>
    <t>PEÑATE SÁNCHEZ JULISSA</t>
  </si>
  <si>
    <t xml:space="preserve">26140777  </t>
  </si>
  <si>
    <t>ORTIZ BAUTISTA JESUS</t>
  </si>
  <si>
    <t xml:space="preserve">26140692  </t>
  </si>
  <si>
    <t>OLVERA CAMACHO JOSE LEONARDO</t>
  </si>
  <si>
    <t xml:space="preserve">26140687  </t>
  </si>
  <si>
    <t>MENDOZA PALACIOS DIEGO</t>
  </si>
  <si>
    <t xml:space="preserve">26140782  </t>
  </si>
  <si>
    <t>MENA PEREZ KENYA NATALLY</t>
  </si>
  <si>
    <t xml:space="preserve">26140767  </t>
  </si>
  <si>
    <t>MEDINA ALVAREZ ANA ISABEL</t>
  </si>
  <si>
    <t xml:space="preserve">26140757  </t>
  </si>
  <si>
    <t>MARTINEZ RESENDIZ JOSE ALEJANDRO</t>
  </si>
  <si>
    <t xml:space="preserve">26140712  </t>
  </si>
  <si>
    <t>LÓPEZ URIBE JOSÉ MANUEL</t>
  </si>
  <si>
    <t xml:space="preserve">26140637  </t>
  </si>
  <si>
    <t>LUNA VELAZQUEZ ITZEL VALERIA</t>
  </si>
  <si>
    <t xml:space="preserve">26140682  </t>
  </si>
  <si>
    <t>LUNA LUNA DIANA MAYTE</t>
  </si>
  <si>
    <t xml:space="preserve">26140702  </t>
  </si>
  <si>
    <t>LOPEZ GONZALEZ CHRISTIAN DANIEL</t>
  </si>
  <si>
    <t xml:space="preserve">26140717  </t>
  </si>
  <si>
    <t>LOPEZ ESCOBEDO GERARDO</t>
  </si>
  <si>
    <t xml:space="preserve">26140732  </t>
  </si>
  <si>
    <t>JIMÉNEZ SIMENTAL CRISTIAN</t>
  </si>
  <si>
    <t xml:space="preserve">26140672  </t>
  </si>
  <si>
    <t>HERNÁNDEZ MENDONCA YHEYRIMAR STEFANY</t>
  </si>
  <si>
    <t xml:space="preserve">26141665  </t>
  </si>
  <si>
    <t>HERNANDEZ OSORNIO LEONARDO</t>
  </si>
  <si>
    <t xml:space="preserve">26140647  </t>
  </si>
  <si>
    <t>GONZALEZ TREJO SERGIO YAREL</t>
  </si>
  <si>
    <t xml:space="preserve">26140632  </t>
  </si>
  <si>
    <t>GARCIA GARCIA DIEGO MOISES</t>
  </si>
  <si>
    <t xml:space="preserve">26140742  </t>
  </si>
  <si>
    <t>FEREGRINO LÓPEZ WENDY MELANY</t>
  </si>
  <si>
    <t xml:space="preserve">26141660  </t>
  </si>
  <si>
    <t>ESTRADA LEÓN EDUARDO DANIEL</t>
  </si>
  <si>
    <t xml:space="preserve">26140642  </t>
  </si>
  <si>
    <t>DUARTE NORBERTO ALISON JOCELYN</t>
  </si>
  <si>
    <t xml:space="preserve">26140762  </t>
  </si>
  <si>
    <t>DE JESÚS LEÓN EVELYN JOCELYN</t>
  </si>
  <si>
    <t xml:space="preserve">26140652  </t>
  </si>
  <si>
    <t>CRUZ LEON BERNARDO GAEL</t>
  </si>
  <si>
    <t xml:space="preserve">26140662  </t>
  </si>
  <si>
    <t>CAMACHO ROBLES ATALIA</t>
  </si>
  <si>
    <t xml:space="preserve">26140727  </t>
  </si>
  <si>
    <t>AVILA REGALADO HELEN</t>
  </si>
  <si>
    <t xml:space="preserve">26140747  </t>
  </si>
  <si>
    <t>ATANACIO MARTÍNEZ CRISTIAN URIEL</t>
  </si>
  <si>
    <t xml:space="preserve">26140752  </t>
  </si>
  <si>
    <t>VEGA FERRUSCA DIEGO EFREN</t>
  </si>
  <si>
    <t xml:space="preserve">26140150  </t>
  </si>
  <si>
    <t>TREJO RODRIGUEZ BRIAN GUSTAVO</t>
  </si>
  <si>
    <t xml:space="preserve">26140148  </t>
  </si>
  <si>
    <t>IGE</t>
  </si>
  <si>
    <t>SOTO JAIMES CRISTOPHER ASAEL</t>
  </si>
  <si>
    <t xml:space="preserve">25320852  </t>
  </si>
  <si>
    <t>ISC</t>
  </si>
  <si>
    <t>ROSALES ALDANA VALERIA AMELI</t>
  </si>
  <si>
    <t xml:space="preserve">25140866  </t>
  </si>
  <si>
    <t>ROSALES AGUILAR DIEGO ALONSO</t>
  </si>
  <si>
    <t xml:space="preserve">26140144  </t>
  </si>
  <si>
    <t>RODRÍGUEZ MÁRQUEZ DANIEL</t>
  </si>
  <si>
    <t xml:space="preserve">26140230  </t>
  </si>
  <si>
    <t>ELO</t>
  </si>
  <si>
    <t>RAMÍREZ SALINAS JUAN</t>
  </si>
  <si>
    <t xml:space="preserve">25141129  </t>
  </si>
  <si>
    <t>PANTOJA CRISTALES SOFÍA</t>
  </si>
  <si>
    <t xml:space="preserve">26140103  </t>
  </si>
  <si>
    <t>MORALES MARTÍNEZ DIEGO</t>
  </si>
  <si>
    <t xml:space="preserve">25140836  </t>
  </si>
  <si>
    <t>MEC</t>
  </si>
  <si>
    <t>MICHAUS MORENO MIGUEL ALEXANDER</t>
  </si>
  <si>
    <t xml:space="preserve">25140938  </t>
  </si>
  <si>
    <t>ICD</t>
  </si>
  <si>
    <t>MATEHUALA TOVAR ALAN LEONARDO</t>
  </si>
  <si>
    <t xml:space="preserve">C23140727 </t>
  </si>
  <si>
    <t>MARTINEZ DAVILA ALEXANDER</t>
  </si>
  <si>
    <t xml:space="preserve">C25140683 </t>
  </si>
  <si>
    <t>LAZARO RODRIGUEZ VICTOR RAFAEL</t>
  </si>
  <si>
    <t xml:space="preserve">26140130  </t>
  </si>
  <si>
    <t>HERNÁNDEZ LÓPEZ SOFÍA</t>
  </si>
  <si>
    <t xml:space="preserve">26140264  </t>
  </si>
  <si>
    <t>HERNANDEZ TOVAR YOSELIN</t>
  </si>
  <si>
    <t xml:space="preserve">25141035  </t>
  </si>
  <si>
    <t>HERNANDEZ PERALES JOSUE GERARDO</t>
  </si>
  <si>
    <t xml:space="preserve">C25140593 </t>
  </si>
  <si>
    <t>HERNANDEZ GASPAR FERNANDO TONATIHU</t>
  </si>
  <si>
    <t xml:space="preserve">26140124  </t>
  </si>
  <si>
    <t>HERNANDEZ GARCIA DAVID</t>
  </si>
  <si>
    <t xml:space="preserve">25141111  </t>
  </si>
  <si>
    <t>ELE</t>
  </si>
  <si>
    <t>GRANDE HERNÁNDEZ ANGEL DANIEL</t>
  </si>
  <si>
    <t xml:space="preserve">26140068  </t>
  </si>
  <si>
    <t>GONZALEZ MORALES MARCO ANTONIO</t>
  </si>
  <si>
    <t>E</t>
  </si>
  <si>
    <t xml:space="preserve">24140719  </t>
  </si>
  <si>
    <t>GARCÍA RAMÍREZ BRIAN ARMANDO</t>
  </si>
  <si>
    <t xml:space="preserve">26140163  </t>
  </si>
  <si>
    <t>FRIAS TREJO SEBASTIÁN ALONSO</t>
  </si>
  <si>
    <t xml:space="preserve">26140118  </t>
  </si>
  <si>
    <t>ESPINOZA ESPINOZA MARIA CELESTE</t>
  </si>
  <si>
    <t xml:space="preserve">26140116  </t>
  </si>
  <si>
    <t>CÓRDOVA PADILLA JOSÉ ADRIAN</t>
  </si>
  <si>
    <t xml:space="preserve">26140157  </t>
  </si>
  <si>
    <t>CRUZ MARTINEZ ALEJANDRO</t>
  </si>
  <si>
    <t xml:space="preserve">26140205  </t>
  </si>
  <si>
    <t>CRUZ JIMÉNEZ SEBASTIÁN</t>
  </si>
  <si>
    <t xml:space="preserve">26140158  </t>
  </si>
  <si>
    <t>CRUZ GONZÁLEZ ERICK</t>
  </si>
  <si>
    <t xml:space="preserve">26140240  </t>
  </si>
  <si>
    <t>CORONA GONZALEZ YATZIL MONSERRAT</t>
  </si>
  <si>
    <t xml:space="preserve">26140112  </t>
  </si>
  <si>
    <t>CASILLAS MEJIA CARLOS DANIEL</t>
  </si>
  <si>
    <t xml:space="preserve">26140091  </t>
  </si>
  <si>
    <t>BUSTOS HERNÁNDEZ EMILIANO GERMAN</t>
  </si>
  <si>
    <t xml:space="preserve">26140110  </t>
  </si>
  <si>
    <t>BREÑA MARTINEZ PABLO ENRIQUE</t>
  </si>
  <si>
    <t xml:space="preserve">26140090  </t>
  </si>
  <si>
    <t>BARCENAS JASSO YOALLI  DANAE</t>
  </si>
  <si>
    <t xml:space="preserve">26140256  </t>
  </si>
  <si>
    <t>BARBOSA BARRIOS EMILIANO</t>
  </si>
  <si>
    <t xml:space="preserve">25140542  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</si>
  <si>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</si>
  <si>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</si>
  <si>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</si>
  <si>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ZÚÑIGA GÓMEZ MIGUEL ÁNGEL</t>
  </si>
  <si>
    <t xml:space="preserve">26140857  </t>
  </si>
  <si>
    <t>VILLEGAS RICO MATEO</t>
  </si>
  <si>
    <t xml:space="preserve">26140877  </t>
  </si>
  <si>
    <t>VARGAS GÜENDULAIN IKER EDEL</t>
  </si>
  <si>
    <t xml:space="preserve">26140880  </t>
  </si>
  <si>
    <t>TADEO SANTOS CÉSAR GAEL</t>
  </si>
  <si>
    <t xml:space="preserve">26140881  </t>
  </si>
  <si>
    <t>SÁNCHEZ TREVIÑO ALEJANDRO</t>
  </si>
  <si>
    <t xml:space="preserve">26140817  </t>
  </si>
  <si>
    <t>SECUNDINO CONTADOR SARA</t>
  </si>
  <si>
    <t xml:space="preserve">26140907  </t>
  </si>
  <si>
    <t>SANCHEZ BASILIO ANGEL JOAN</t>
  </si>
  <si>
    <t xml:space="preserve">26140849  </t>
  </si>
  <si>
    <t>RUIZ BALDERAS IAN FERNANDO</t>
  </si>
  <si>
    <t xml:space="preserve">26141679  </t>
  </si>
  <si>
    <t>RESÉNDIZ CONTRERAS JOEL GAMALIEL</t>
  </si>
  <si>
    <t xml:space="preserve">26140829  </t>
  </si>
  <si>
    <t>RAMÍREZ DURAN MARCOS EUGENIO</t>
  </si>
  <si>
    <t xml:space="preserve">26140785  </t>
  </si>
  <si>
    <t>PALACIOS PALACIOS IAN LEONARDO</t>
  </si>
  <si>
    <t xml:space="preserve">26141673  </t>
  </si>
  <si>
    <t>MONTES LÓPEZ MIGUEL ALBERTO</t>
  </si>
  <si>
    <t xml:space="preserve">26140853  </t>
  </si>
  <si>
    <t>MARTINEZ CHACON DAVID ALBERTO</t>
  </si>
  <si>
    <t xml:space="preserve">26140793  </t>
  </si>
  <si>
    <t>MALDONADO MALAGON PAOLA MICHELLE</t>
  </si>
  <si>
    <t xml:space="preserve">26141680  </t>
  </si>
  <si>
    <t>LÓPEZ SERRANO RODRIGO</t>
  </si>
  <si>
    <t xml:space="preserve">26140809  </t>
  </si>
  <si>
    <t>LÓPEZ PÉREZ RAZIEL</t>
  </si>
  <si>
    <t xml:space="preserve">26140865  </t>
  </si>
  <si>
    <t>LOPEZ LEON LANDER YAEL</t>
  </si>
  <si>
    <t xml:space="preserve">26140897  </t>
  </si>
  <si>
    <t>JIMÉNEZ OLMOS ANGELA</t>
  </si>
  <si>
    <t xml:space="preserve">26140901  </t>
  </si>
  <si>
    <t>HERNÁNDEZ  LEONARDO ALEXANDER</t>
  </si>
  <si>
    <t xml:space="preserve">26140833  </t>
  </si>
  <si>
    <t>GÒMEZ HERNÀNDEZ ALEJANDRO</t>
  </si>
  <si>
    <t xml:space="preserve">26140789  </t>
  </si>
  <si>
    <t>GUTIÉRREZ AGAPITO NADIA</t>
  </si>
  <si>
    <t xml:space="preserve">26140841  </t>
  </si>
  <si>
    <t>GONZÁLEZ HERRERA EMILIO ALEJANDRO</t>
  </si>
  <si>
    <t xml:space="preserve">26141428  </t>
  </si>
  <si>
    <t>GONZÁLEZ BARRIENTOS JOSÉ ANTONIO</t>
  </si>
  <si>
    <t xml:space="preserve">26140873  </t>
  </si>
  <si>
    <t>ESTRADA GARCÍA ALEXA VALERIA</t>
  </si>
  <si>
    <t xml:space="preserve">26140837  </t>
  </si>
  <si>
    <t>ELVIRA JUAREZ ALDO</t>
  </si>
  <si>
    <t xml:space="preserve">26140893  </t>
  </si>
  <si>
    <t>DOMINGUEZ CRUZ CRISTIAN EDUARDO</t>
  </si>
  <si>
    <t xml:space="preserve">26140845  </t>
  </si>
  <si>
    <t>DE SANTIAGO PEREZ ANGEL MIGUEL</t>
  </si>
  <si>
    <t xml:space="preserve">26140805  </t>
  </si>
  <si>
    <t>DE JESÚS MENDOZA EUGENIO ABED</t>
  </si>
  <si>
    <t xml:space="preserve">26140869  </t>
  </si>
  <si>
    <t>CORDOVA MARTINEZ RICARDO</t>
  </si>
  <si>
    <t xml:space="preserve">26140821  </t>
  </si>
  <si>
    <t>CHÁVEZ PÉREZ EMILIANO</t>
  </si>
  <si>
    <t xml:space="preserve">26140861  </t>
  </si>
  <si>
    <t>CHAVERO CHAIRE RENATO</t>
  </si>
  <si>
    <t xml:space="preserve">26140801  </t>
  </si>
  <si>
    <t>BARRIOS RAMIREZ SERGIO</t>
  </si>
  <si>
    <t xml:space="preserve">26140917  </t>
  </si>
  <si>
    <t>BARBOSA RODRIGUEZ ABRAHAM ALEJANDRO</t>
  </si>
  <si>
    <t xml:space="preserve">26140813  </t>
  </si>
  <si>
    <t>BADILLO OLVERA DIEGO ADRIAN</t>
  </si>
  <si>
    <t xml:space="preserve">26140889  </t>
  </si>
  <si>
    <t>ALVAREZ ALVAREZ JAVIER</t>
  </si>
  <si>
    <t xml:space="preserve">26140797  </t>
  </si>
  <si>
    <t>ALONSO MÉNDEZ SANTIAGO</t>
  </si>
  <si>
    <t xml:space="preserve">26140909  </t>
  </si>
  <si>
    <t>ABARCA ADAMS CARLOS GAEL</t>
  </si>
  <si>
    <t xml:space="preserve">26140825  </t>
  </si>
  <si>
    <t>isaac300.seguraayala@gmail.com</t>
  </si>
  <si>
    <t>l26140923@queretaro.tecnm.mx</t>
  </si>
  <si>
    <t>SEGURA AYALA ANGEL ISAAC</t>
  </si>
  <si>
    <t xml:space="preserve">26140923  </t>
  </si>
  <si>
    <t>sanchezsuarezcristhiano@gmail.com</t>
  </si>
  <si>
    <t>l26140979@queretaro.tecnm.mx</t>
  </si>
  <si>
    <t>SANCHÉZ SUARÉZ CRISTIAN</t>
  </si>
  <si>
    <t xml:space="preserve">26140979  </t>
  </si>
  <si>
    <t>sbracamontes037@gmail.com</t>
  </si>
  <si>
    <t>l26141035@queretaro.tecnm.mx</t>
  </si>
  <si>
    <t>RUÍZ BRACAMONTES SANTIAGO JAVIER</t>
  </si>
  <si>
    <t xml:space="preserve">26141035  </t>
  </si>
  <si>
    <t>oscar.rosalesislas@gmail.com</t>
  </si>
  <si>
    <t>l26140987@queretaro.tecnm.mx</t>
  </si>
  <si>
    <t>ROSALES ISLAS OSCAR</t>
  </si>
  <si>
    <t xml:space="preserve">26140987  </t>
  </si>
  <si>
    <t>zandresrg98@gmail.com</t>
  </si>
  <si>
    <t>l26141690@queretaro.tecnm.mx</t>
  </si>
  <si>
    <t>RODRIGUEZ GUILLEN ANDRES</t>
  </si>
  <si>
    <t xml:space="preserve">26141690  </t>
  </si>
  <si>
    <t>eloisa.reyes.mun@gmail.com</t>
  </si>
  <si>
    <t>l26140983@queretaro.tecnm.mx</t>
  </si>
  <si>
    <t>REYES MUÑOZ ELOISA</t>
  </si>
  <si>
    <t xml:space="preserve">26140983  </t>
  </si>
  <si>
    <t>resendiz.perez.aldo1@gmail.com</t>
  </si>
  <si>
    <t>l26141007@queretaro.tecnm.mx</t>
  </si>
  <si>
    <t>RESENDIZ PEREZ ALDO</t>
  </si>
  <si>
    <t xml:space="preserve">26141007  </t>
  </si>
  <si>
    <t>alexpadillacastillo@gmail.com</t>
  </si>
  <si>
    <t>l26141043@queretaro.tecnm.mx</t>
  </si>
  <si>
    <t>PADILLA CASTILLO ALEJANDRO</t>
  </si>
  <si>
    <t xml:space="preserve">26141043  </t>
  </si>
  <si>
    <t>g462931@gmail.com</t>
  </si>
  <si>
    <t>l26140931@queretaro.tecnm.mx</t>
  </si>
  <si>
    <t>PACHECO NOGUEZ DIEGO ALEJANDRO</t>
  </si>
  <si>
    <t xml:space="preserve">26140931  </t>
  </si>
  <si>
    <t>isaa.zjj@gmail.com</t>
  </si>
  <si>
    <t>l26141051@queretaro.tecnm.mx</t>
  </si>
  <si>
    <t>OLVERA ALARCÓN ISABEL</t>
  </si>
  <si>
    <t xml:space="preserve">26141051  </t>
  </si>
  <si>
    <t>jacquemoralesarreguin@gmail.com</t>
  </si>
  <si>
    <t>l26140963@queretaro.tecnm.mx</t>
  </si>
  <si>
    <t>MORALES ARREGUIN JACQUELINE</t>
  </si>
  <si>
    <t xml:space="preserve">26140963  </t>
  </si>
  <si>
    <t>leomirandajacques@gmail.com</t>
  </si>
  <si>
    <t>l26141003@queretaro.tecnm.mx</t>
  </si>
  <si>
    <t>MIRANDA JACQUES LEONARDO</t>
  </si>
  <si>
    <t xml:space="preserve">26141003  </t>
  </si>
  <si>
    <t>luisvmedranoluna@gmail.com</t>
  </si>
  <si>
    <t>l26140951@queretaro.tecnm.mx</t>
  </si>
  <si>
    <t>MEDRANO DE LUNA LUIS VLADIMIR</t>
  </si>
  <si>
    <t xml:space="preserve">26140951  </t>
  </si>
  <si>
    <t>zaidmatehuala01@gmail.com</t>
  </si>
  <si>
    <t>l26141694@queretaro.tecnm.mx</t>
  </si>
  <si>
    <t>MATEHUALA TOVAR ZAID</t>
  </si>
  <si>
    <t xml:space="preserve">26141694  </t>
  </si>
  <si>
    <t>arimarbar23@gmail.com</t>
  </si>
  <si>
    <t>l26141023@queretaro.tecnm.mx</t>
  </si>
  <si>
    <t>MARTINEZ BARRERA ARIANA</t>
  </si>
  <si>
    <t xml:space="preserve">26141023  </t>
  </si>
  <si>
    <t>aethelhz@proton.me</t>
  </si>
  <si>
    <t>l26141682@queretaro.tecnm.mx</t>
  </si>
  <si>
    <t>LOPEZ PEREZ OMAR HAZIEL</t>
  </si>
  <si>
    <t xml:space="preserve">26141682  </t>
  </si>
  <si>
    <t>lopezgaelarturo@gmail.com</t>
  </si>
  <si>
    <t>l26141027@queretaro.tecnm.mx</t>
  </si>
  <si>
    <t>LOPEZ HERNANDEZ GAEL ARTURO</t>
  </si>
  <si>
    <t xml:space="preserve">26141027  </t>
  </si>
  <si>
    <t>giovannilicea70@gmail.com</t>
  </si>
  <si>
    <t>l26140927@queretaro.tecnm.mx</t>
  </si>
  <si>
    <t>LICEA JUAREZ GIOVANNI</t>
  </si>
  <si>
    <t xml:space="preserve">26140927  </t>
  </si>
  <si>
    <t>luis2008jimeluga@gmail.com</t>
  </si>
  <si>
    <t>l26141019@queretaro.tecnm.mx</t>
  </si>
  <si>
    <t>JIMÉNEZ LUGARDO JUAN LUIS</t>
  </si>
  <si>
    <t xml:space="preserve">26141019  </t>
  </si>
  <si>
    <t>asher17hernandez06@gmail.com</t>
  </si>
  <si>
    <t>l26140943@queretaro.tecnm.mx</t>
  </si>
  <si>
    <t>HERNÁNDEZ PEÑA ASHER ALEJANDRO</t>
  </si>
  <si>
    <t xml:space="preserve">26140943  </t>
  </si>
  <si>
    <t>1a.hernandez.angelzuriel@gmail.com</t>
  </si>
  <si>
    <t>l26140971@queretaro.tecnm.mx</t>
  </si>
  <si>
    <t>HERNANDEZ RESENDIZ ANGEL ZURIEL</t>
  </si>
  <si>
    <t xml:space="preserve">26140971  </t>
  </si>
  <si>
    <t>minyugyeom143@gmail.com</t>
  </si>
  <si>
    <t>l26140975@queretaro.tecnm.mx</t>
  </si>
  <si>
    <t>HERNANDEZ MEJIA DEANY ALEXANDRA</t>
  </si>
  <si>
    <t xml:space="preserve">26140975  </t>
  </si>
  <si>
    <t>sofiahernandezisassi@gmail.com</t>
  </si>
  <si>
    <t>l26141039@queretaro.tecnm.mx</t>
  </si>
  <si>
    <t>HERNANDEZ ISASSI SOFIA</t>
  </si>
  <si>
    <t xml:space="preserve">26141039  </t>
  </si>
  <si>
    <t>hernandezestradapaloma5@gmail.com</t>
  </si>
  <si>
    <t>l26141011@queretaro.tecnm.mx</t>
  </si>
  <si>
    <t>HERNANDEZ ESTRADA PALOMA ITZEL</t>
  </si>
  <si>
    <t xml:space="preserve">26141011  </t>
  </si>
  <si>
    <t>ernestoguerrero141@gmail.com</t>
  </si>
  <si>
    <t>l26141015@queretaro.tecnm.mx</t>
  </si>
  <si>
    <t>GUERRERO ZARATE ERNESTO GIOVANNI</t>
  </si>
  <si>
    <t xml:space="preserve">26141015  </t>
  </si>
  <si>
    <t>fridasophiagrimaldoperez7@gmail.com</t>
  </si>
  <si>
    <t>l26140995@queretaro.tecnm.mx</t>
  </si>
  <si>
    <t>GRIMALDO PÉREZ FRIDA SOPHIA</t>
  </si>
  <si>
    <t xml:space="preserve">26140995  </t>
  </si>
  <si>
    <t>migueoficialxd@gmail.com</t>
  </si>
  <si>
    <t>l26140999@queretaro.tecnm.mx</t>
  </si>
  <si>
    <t>GONZÁLEZ ORTEGA MIGUEL ANGEL</t>
  </si>
  <si>
    <t xml:space="preserve">26140999  </t>
  </si>
  <si>
    <t>gheber064@gmail.com</t>
  </si>
  <si>
    <t>l26140947@queretaro.tecnm.mx</t>
  </si>
  <si>
    <t>GONZALEZ MORENO HEBER ALAIN</t>
  </si>
  <si>
    <t xml:space="preserve">26140947  </t>
  </si>
  <si>
    <t>amore.titi442@gmail.com</t>
  </si>
  <si>
    <t>l26140991@queretaro.tecnm.mx</t>
  </si>
  <si>
    <t>GARCIA RIVERA TRISTAN</t>
  </si>
  <si>
    <t xml:space="preserve">26140991  </t>
  </si>
  <si>
    <t>galvangiovanni300@gmail.com</t>
  </si>
  <si>
    <t>l26140955@queretaro.tecnm.mx</t>
  </si>
  <si>
    <t>GALVAN RUBIO GIOVANNI</t>
  </si>
  <si>
    <t xml:space="preserve">26140955  </t>
  </si>
  <si>
    <t>gaelesp0809@gmail.com</t>
  </si>
  <si>
    <t>l26140959@queretaro.tecnm.mx</t>
  </si>
  <si>
    <t>ESPINOZA BAUTISTA GAEL ISAAC</t>
  </si>
  <si>
    <t xml:space="preserve">26140959  </t>
  </si>
  <si>
    <t>santi.carrillo.pichardo@gmail.com</t>
  </si>
  <si>
    <t>l26140967@queretaro.tecnm.mx</t>
  </si>
  <si>
    <t>CARRILLO PICHARDO SANTIAGO</t>
  </si>
  <si>
    <t xml:space="preserve">26140967  </t>
  </si>
  <si>
    <t>alejandrocamacho52@outlook.com</t>
  </si>
  <si>
    <t>l26141047@queretaro.tecnm.mx</t>
  </si>
  <si>
    <t>CAMACHO PRADO ALEJANDRO</t>
  </si>
  <si>
    <t xml:space="preserve">26141047  </t>
  </si>
  <si>
    <t>acodorniz810@gmail.com</t>
  </si>
  <si>
    <t>l26140939@queretaro.tecnm.mx</t>
  </si>
  <si>
    <t>BAUTISTA CODORNIZ ABRAHAM</t>
  </si>
  <si>
    <t xml:space="preserve">26140939  </t>
  </si>
  <si>
    <t>jh12141620@gmail.com</t>
  </si>
  <si>
    <t>l26141031@queretaro.tecnm.mx</t>
  </si>
  <si>
    <t>BARCENAS HERNADEZ JOSE ANTONIO</t>
  </si>
  <si>
    <t xml:space="preserve">26141031  </t>
  </si>
  <si>
    <t>keniamariamartinez383@gmail.com</t>
  </si>
  <si>
    <t>l26140935@queretaro.tecnm.mx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</si>
  <si>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</si>
  <si>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</si>
  <si>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</si>
  <si>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</si>
  <si>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</si>
  <si>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</si>
  <si>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</si>
  <si>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</si>
  <si>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</si>
  <si>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</si>
  <si>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</si>
  <si>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</si>
  <si>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</si>
  <si>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</si>
  <si>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</si>
  <si>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</si>
  <si>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</si>
  <si>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</si>
  <si>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</si>
  <si>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</si>
  <si>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</si>
  <si>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</si>
  <si>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</si>
  <si>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</si>
  <si>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</si>
  <si>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</si>
  <si>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</si>
  <si>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</si>
  <si>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</si>
  <si>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</si>
  <si>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</si>
  <si>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</si>
  <si>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</si>
  <si>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</si>
  <si>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</si>
  <si>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</si>
  <si>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</si>
  <si>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</si>
  <si>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</si>
  <si>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</si>
  <si>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</si>
  <si>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</si>
  <si>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</si>
  <si>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</si>
  <si>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</si>
  <si>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</si>
  <si>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</si>
  <si>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</si>
  <si>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</si>
  <si>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</si>
  <si>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</si>
  <si>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</si>
  <si>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</si>
  <si>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</si>
  <si>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</si>
  <si>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</si>
  <si>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</si>
  <si>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</si>
  <si>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</si>
  <si>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</si>
  <si>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</si>
  <si>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</si>
  <si>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</si>
  <si>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</si>
  <si>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</si>
  <si>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</si>
  <si>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</si>
  <si>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</si>
  <si>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</si>
  <si>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</si>
  <si>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</si>
  <si>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</si>
  <si>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</si>
  <si>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</si>
  <si>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</si>
  <si>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</si>
  <si>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</si>
  <si>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</si>
  <si>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</si>
  <si>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</si>
  <si>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</si>
  <si>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</si>
  <si>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</si>
  <si>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</si>
  <si>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</si>
  <si>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</si>
  <si>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</si>
  <si>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</si>
  <si>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</si>
  <si>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</si>
  <si>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</si>
  <si>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</si>
  <si>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</si>
  <si>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</si>
  <si>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</si>
  <si>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</si>
  <si>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</si>
  <si>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</si>
  <si>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</si>
  <si>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</si>
  <si>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</si>
  <si>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</si>
  <si>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</si>
  <si>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</si>
  <si>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</si>
  <si>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</si>
  <si>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</si>
  <si>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</si>
  <si>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</si>
  <si>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</si>
  <si>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</si>
  <si>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</si>
  <si>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</si>
  <si>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</si>
  <si>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</si>
  <si>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</si>
  <si>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</si>
  <si>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</si>
  <si>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</si>
  <si>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</si>
  <si>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</si>
  <si>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</si>
  <si>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</si>
  <si>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</si>
  <si>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</si>
  <si>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</si>
  <si>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</si>
  <si>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</si>
  <si>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</si>
  <si>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</si>
  <si>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</si>
  <si>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</si>
  <si>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</si>
  <si>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</si>
  <si>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</si>
  <si>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</si>
  <si>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</si>
  <si>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</si>
  <si>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</si>
  <si>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</si>
  <si>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</si>
  <si>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</si>
  <si>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</si>
  <si>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</si>
  <si>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</si>
  <si>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</si>
  <si>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</si>
  <si>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</si>
  <si>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</si>
  <si>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</si>
  <si>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</si>
  <si>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</si>
  <si>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</si>
  <si>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</si>
  <si>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</si>
  <si>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t>zunigamoyajosemaria2@gmail.com</t>
  </si>
  <si>
    <t>l24140326@queretaro.tecnm.mx</t>
  </si>
  <si>
    <t>ZÚÑIGA MOYA JOSÉ MARÍA</t>
  </si>
  <si>
    <t xml:space="preserve">24140326  </t>
  </si>
  <si>
    <t>vg.asiel@gmail.com</t>
  </si>
  <si>
    <t>l24141023@queretaro.tecnm.mx</t>
  </si>
  <si>
    <t>VELÁZQUEZ GONZÁLEZ ASIEL</t>
  </si>
  <si>
    <t xml:space="preserve">24141023  </t>
  </si>
  <si>
    <t>eddy.velalv@gmail.com</t>
  </si>
  <si>
    <t>l24140325@queretaro.tecnm.mx</t>
  </si>
  <si>
    <t>VELAZQUEZ ALVAREZ JESUS EDUARDO</t>
  </si>
  <si>
    <t xml:space="preserve">24140325  </t>
  </si>
  <si>
    <t>dan27gualo@gmail.com</t>
  </si>
  <si>
    <t>l24140109@queretaro.tecnm.mx</t>
  </si>
  <si>
    <t>VEGA GUALITO DANIEL FRANCISCO</t>
  </si>
  <si>
    <t xml:space="preserve">C24140109 </t>
  </si>
  <si>
    <t>yeredvarmar@gmail.com</t>
  </si>
  <si>
    <t>l25140246@queretaro.tecnm.mx</t>
  </si>
  <si>
    <t>VARGAS MARTINEZ YERED</t>
  </si>
  <si>
    <t xml:space="preserve">25140246  </t>
  </si>
  <si>
    <t>luisarturotrejomurillo@gmail.com</t>
  </si>
  <si>
    <t>l26140193@queretaro.tecnm.mx</t>
  </si>
  <si>
    <t>TREJO MURILLO LUIS ARTURO</t>
  </si>
  <si>
    <t xml:space="preserve">26140193  </t>
  </si>
  <si>
    <t>tovarfonsecaluisangel3@gmail.com</t>
  </si>
  <si>
    <t>lc24141066@queretaro.tecnm.mx</t>
  </si>
  <si>
    <t>TOVAR FONSECA LUIS ANGEL</t>
  </si>
  <si>
    <t xml:space="preserve">C22141066 </t>
  </si>
  <si>
    <t>carlostapbec@gmail.com</t>
  </si>
  <si>
    <t>lc22140822@queretaro.tecnm.mx</t>
  </si>
  <si>
    <t>TAPIA BECERRIL JUAN CARLOS</t>
  </si>
  <si>
    <t xml:space="preserve">C22140822 </t>
  </si>
  <si>
    <t>gstvss05@gmail.com</t>
  </si>
  <si>
    <t>l26140107@queretaro.tecnm.mx</t>
  </si>
  <si>
    <t>SIERRA SANCHEZ HÉCTOR GUSTAVO</t>
  </si>
  <si>
    <t xml:space="preserve">26140107  </t>
  </si>
  <si>
    <t>itzcarlosortiz2020@gmail.com</t>
  </si>
  <si>
    <t>l26140191@queretaro.tecnm.mx</t>
  </si>
  <si>
    <t>SALINAS ARREDONDO CARLOS ABNER</t>
  </si>
  <si>
    <t xml:space="preserve">26140191  </t>
  </si>
  <si>
    <t>chris.rosado2910@gmail.com</t>
  </si>
  <si>
    <t>l25140865@queretaro.tecnm.mx</t>
  </si>
  <si>
    <t>ROSADO MARTÍNEZ CHRISTIAN</t>
  </si>
  <si>
    <t xml:space="preserve">25140865  </t>
  </si>
  <si>
    <t>axelbautistaperez@gmail.com</t>
  </si>
  <si>
    <t>l26140142@queretaro.tecnm.mx</t>
  </si>
  <si>
    <t>PÉREZ BAUTISTA AXEL IVÁN</t>
  </si>
  <si>
    <t xml:space="preserve">26140142  </t>
  </si>
  <si>
    <t>vitzel2006@gmail.com</t>
  </si>
  <si>
    <t>l25140230@queretaro.tecnm.mx</t>
  </si>
  <si>
    <t>PEREZ VEGA ITZEL</t>
  </si>
  <si>
    <t xml:space="preserve">25140230  </t>
  </si>
  <si>
    <t>joseduado2377@gmail.com</t>
  </si>
  <si>
    <t>l26140102@queretaro.tecnm.mx</t>
  </si>
  <si>
    <t>NÚÑEZ PÉREZ RICARDO</t>
  </si>
  <si>
    <t xml:space="preserve">26140102  </t>
  </si>
  <si>
    <t>ederalejandromoralesgarcia@gmail.com</t>
  </si>
  <si>
    <t>l25141058@queretaro.tecnm.mx</t>
  </si>
  <si>
    <t>MORALES GARCÍA EDER ALEJANDRO</t>
  </si>
  <si>
    <t xml:space="preserve">25141058  </t>
  </si>
  <si>
    <t>carlomeaw@gmail.com</t>
  </si>
  <si>
    <t>l25140829@queretaro.tecnm.mx</t>
  </si>
  <si>
    <t>MATAMOROS CAMACHO CARLO ISAAC</t>
  </si>
  <si>
    <t xml:space="preserve">25140829  </t>
  </si>
  <si>
    <t>jfpancho2080@gmail.com</t>
  </si>
  <si>
    <t>l25141050@queretaro.tecnm.mx</t>
  </si>
  <si>
    <t>MARTÍNEZ CRISTÓBAL JUAN FRANCISCO</t>
  </si>
  <si>
    <t xml:space="preserve">25141050  </t>
  </si>
  <si>
    <t>oscarjesus.lara06@gmail.com</t>
  </si>
  <si>
    <t xml:space="preserve"> </t>
  </si>
  <si>
    <t>LARA CUELLAR OSCAR JESUS</t>
  </si>
  <si>
    <t xml:space="preserve">25200788  </t>
  </si>
  <si>
    <t>diegorafaeljumenezgonzalez@gmail.com</t>
  </si>
  <si>
    <t>lc25140117@queretaro.tecnm.mx</t>
  </si>
  <si>
    <t>JIMENEZ GONZALEZ DIEGO RAFAEL</t>
  </si>
  <si>
    <t xml:space="preserve">C25140117 </t>
  </si>
  <si>
    <t>alanhigareda06@gmail.com</t>
  </si>
  <si>
    <t>l24140728@queretaro.tecnm.mx</t>
  </si>
  <si>
    <t>HIGAREDA HERNÁNDEZ ALAN</t>
  </si>
  <si>
    <t xml:space="preserve">24140728  </t>
  </si>
  <si>
    <t>kiarahernandezperez46@gmail.com</t>
  </si>
  <si>
    <t>l25141339@queretaro.tecnm.mx</t>
  </si>
  <si>
    <t>HERNANDEZ PEREZ KIARA SUJEY</t>
  </si>
  <si>
    <t xml:space="preserve">25141339  </t>
  </si>
  <si>
    <t>abihdez2002@gmail.com</t>
  </si>
  <si>
    <t>l25140214@queretaro.tecnm.mx</t>
  </si>
  <si>
    <t>HERNANDEZ OLVERA ABIGAIL</t>
  </si>
  <si>
    <t xml:space="preserve">25140214  </t>
  </si>
  <si>
    <t>hernandezgonzalezfatima52@gmail.com</t>
  </si>
  <si>
    <t>l26140263@queretaro.tecnm.mx</t>
  </si>
  <si>
    <t>HERNANDEZ GONZALEZ FATIMA</t>
  </si>
  <si>
    <t xml:space="preserve">26140263  </t>
  </si>
  <si>
    <t>hdezana874@gmail.com</t>
  </si>
  <si>
    <t>l23140852@queretaro.tecnm.mx</t>
  </si>
  <si>
    <t>HERNANDEZ ESPINO ANA LILIA</t>
  </si>
  <si>
    <t xml:space="preserve">23140852  </t>
  </si>
  <si>
    <t>alexissoulblack7@gmail.com</t>
  </si>
  <si>
    <t>l26140067@queretaro.tecnm.mx</t>
  </si>
  <si>
    <t>GRANDE HERNÁNDEZ ALEXIS YAMIL</t>
  </si>
  <si>
    <t xml:space="preserve">26140067  </t>
  </si>
  <si>
    <t>ceqricardofranco@gmail.com</t>
  </si>
  <si>
    <t>l24140198@queretaro.tecnm.mx</t>
  </si>
  <si>
    <t>FRANCO CORREA LUIS RICARDO</t>
  </si>
  <si>
    <t xml:space="preserve">C24140198 </t>
  </si>
  <si>
    <t>chrisduran442@gmail.com</t>
  </si>
  <si>
    <t>l24140113@queretaro.tecnm.mx</t>
  </si>
  <si>
    <t>DURAN BARROSO CHRISTOFER</t>
  </si>
  <si>
    <t xml:space="preserve">24140113  </t>
  </si>
  <si>
    <t>josejahelchavez@gmail.com</t>
  </si>
  <si>
    <t>l24141071@queretaro.tecnm.mx</t>
  </si>
  <si>
    <t>CHAVEZ GARCIA JOSE JAHEL</t>
  </si>
  <si>
    <t xml:space="preserve">C24141071 </t>
  </si>
  <si>
    <t>ricardjosecastro27@gmail.com</t>
  </si>
  <si>
    <t>l26140092@queretaro.tecnm.mx</t>
  </si>
  <si>
    <t>CASTRO BORGES RICARDO JOSE</t>
  </si>
  <si>
    <t xml:space="preserve">26140092  </t>
  </si>
  <si>
    <t>alvarezjocelyn1706@gmail.com</t>
  </si>
  <si>
    <t>l25140163@queretaro.tecnm.mx</t>
  </si>
  <si>
    <t>MAT</t>
  </si>
  <si>
    <t>CARDENAS ALVAREZ JOCELYN</t>
  </si>
  <si>
    <t xml:space="preserve">25140163  </t>
  </si>
  <si>
    <t>emibarrios3004@gmail.com</t>
  </si>
  <si>
    <t>l25140102@queretaro.tecnm.mx</t>
  </si>
  <si>
    <t>BARRIOS GONZÁLEZ CARLOS EMILIO</t>
  </si>
  <si>
    <t xml:space="preserve">25140102  </t>
  </si>
  <si>
    <t>ayalarobertat@gmail.com</t>
  </si>
  <si>
    <t>l25140776@queretaro.tecnm.mx</t>
  </si>
  <si>
    <t>AYALA TAPIA ROBERTA</t>
  </si>
  <si>
    <t xml:space="preserve">25140776  </t>
  </si>
  <si>
    <t>alan-alarcon-r@hotmail.com</t>
  </si>
  <si>
    <t>l26140088@queretaro.tecnm.mx</t>
  </si>
  <si>
    <t>ALARCÓN RAMIREZ ALAN</t>
  </si>
  <si>
    <t xml:space="preserve">26140088  </t>
  </si>
  <si>
    <t>aramosdani@gmail.com</t>
  </si>
  <si>
    <t>l25140120@queretaro.tecnm.mx</t>
  </si>
  <si>
    <t>AGUILAR RAMOS DANIELA</t>
  </si>
  <si>
    <t xml:space="preserve">25140120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</si>
  <si>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M13</t>
    </r>
  </si>
  <si>
    <t>ZARATE LUNA DIEGO ALEXANDER</t>
  </si>
  <si>
    <t xml:space="preserve">26140588  </t>
  </si>
  <si>
    <t>VILLANUEVA  SAMUEL</t>
  </si>
  <si>
    <t xml:space="preserve">26141639  </t>
  </si>
  <si>
    <t>VILLAFAÑA CARBAJAL DIEGO</t>
  </si>
  <si>
    <t xml:space="preserve">26140596  </t>
  </si>
  <si>
    <t>VELAZQUEZ ORTIZ JAVIER ISAAC</t>
  </si>
  <si>
    <t xml:space="preserve">26140598  </t>
  </si>
  <si>
    <t>VARGAS RICO OSVALDO DANIEL</t>
  </si>
  <si>
    <t xml:space="preserve">26140612  </t>
  </si>
  <si>
    <t>TEJADA MENDEZ ROBERTO ISMAEL</t>
  </si>
  <si>
    <t xml:space="preserve">26140602  </t>
  </si>
  <si>
    <t>RUIZ TOLEDO SELENE JOCELYN</t>
  </si>
  <si>
    <t xml:space="preserve">26140606  </t>
  </si>
  <si>
    <t>RIVERA PEREZ DAVID AZARIEL</t>
  </si>
  <si>
    <t xml:space="preserve">26140594  </t>
  </si>
  <si>
    <t>RAYAS TIRADO JOSÉ ARMANDO</t>
  </si>
  <si>
    <t xml:space="preserve">26141645  </t>
  </si>
  <si>
    <t>RAMOS FRANCISCO DESERET</t>
  </si>
  <si>
    <t xml:space="preserve">26140604  </t>
  </si>
  <si>
    <t>PEREZ CORONILLA GABRIEL ALFREDO</t>
  </si>
  <si>
    <t xml:space="preserve">26141643  </t>
  </si>
  <si>
    <t>MIRANDA SIQUEIROS VICTOR DANIEL</t>
  </si>
  <si>
    <t xml:space="preserve">26140618  </t>
  </si>
  <si>
    <t>LAVOIGNET RAMIREZ ALEJANDRO</t>
  </si>
  <si>
    <t xml:space="preserve">26140600  </t>
  </si>
  <si>
    <t>JIMÉNEZ MAGOS EMILIANO</t>
  </si>
  <si>
    <t xml:space="preserve">26140592  </t>
  </si>
  <si>
    <t>HERNANDEZ SANCHEZ OSCAR DANIEL</t>
  </si>
  <si>
    <t xml:space="preserve">26140624  </t>
  </si>
  <si>
    <t>GARCÍA LEAL VLADIMIR</t>
  </si>
  <si>
    <t xml:space="preserve">26140622  </t>
  </si>
  <si>
    <t>FLORES CERRILLO ARELY ITZEL</t>
  </si>
  <si>
    <t xml:space="preserve">26140590  </t>
  </si>
  <si>
    <t>ECHEVERRIA ALVAREZ ANTONIO ELIAS</t>
  </si>
  <si>
    <t xml:space="preserve">26141641  </t>
  </si>
  <si>
    <t>DÍAZ GUTIÉRREZ EDUARDO</t>
  </si>
  <si>
    <t xml:space="preserve">26140620  </t>
  </si>
  <si>
    <t>CISNEROS KIGAKU ZHION</t>
  </si>
  <si>
    <t xml:space="preserve">26140616  </t>
  </si>
  <si>
    <t>CELESTINO GARCÍA HERMIONE GUADALUPE</t>
  </si>
  <si>
    <t xml:space="preserve">26140608  </t>
  </si>
  <si>
    <t>BASALDUA CHAVEZ LUIS ABDIEL</t>
  </si>
  <si>
    <t xml:space="preserve">26140614  </t>
  </si>
  <si>
    <t>BAHENA CERINO ALAN ROGELIO</t>
  </si>
  <si>
    <t xml:space="preserve">26141647  </t>
  </si>
  <si>
    <t>SORIANO PEREZ NATALIA</t>
  </si>
  <si>
    <t xml:space="preserve">23140752  </t>
  </si>
  <si>
    <t>SORIA MIRANDA EFRAÍN</t>
  </si>
  <si>
    <t xml:space="preserve">24140771  </t>
  </si>
  <si>
    <t>SILVA PEREZ ERICK MANUEL</t>
  </si>
  <si>
    <t xml:space="preserve">C23140545 </t>
  </si>
  <si>
    <t>RUEDA HERRERA GABRIEL</t>
  </si>
  <si>
    <t xml:space="preserve">C22140586 </t>
  </si>
  <si>
    <t>RUBIO MOLINA OCIEL SAÚL</t>
  </si>
  <si>
    <t xml:space="preserve">24140915  </t>
  </si>
  <si>
    <t>ROJAS BADILLO EMILIO</t>
  </si>
  <si>
    <t xml:space="preserve">25140861  </t>
  </si>
  <si>
    <t>RICO ORTIZ ANDREA MONTSERRAT</t>
  </si>
  <si>
    <t xml:space="preserve">22140692  </t>
  </si>
  <si>
    <t>REVUELTA ARREDONDO ALBERTO</t>
  </si>
  <si>
    <t xml:space="preserve">24141083  </t>
  </si>
  <si>
    <t>RAZO CALDERÓN ESTEFANÍA</t>
  </si>
  <si>
    <t xml:space="preserve">23140799  </t>
  </si>
  <si>
    <t>RANGEL BARRON YOVANI</t>
  </si>
  <si>
    <t xml:space="preserve">23140201  </t>
  </si>
  <si>
    <t>RAMIREZ OSORNIO LUIS EDUARDO</t>
  </si>
  <si>
    <t xml:space="preserve">C23140770 </t>
  </si>
  <si>
    <t>PALMA NUÑEZ JORGE ARMANDO</t>
  </si>
  <si>
    <t xml:space="preserve">C23140184 </t>
  </si>
  <si>
    <t>MEDINA VAZQUEZ DONOVAN JAVIER</t>
  </si>
  <si>
    <t xml:space="preserve">23140183  </t>
  </si>
  <si>
    <t>MARTINEZ VILLANUEVA EMILIO</t>
  </si>
  <si>
    <t xml:space="preserve">C24140955 </t>
  </si>
  <si>
    <t>MARTIN DEL CAMPO NOBLE ALDO</t>
  </si>
  <si>
    <t xml:space="preserve">22140726  </t>
  </si>
  <si>
    <t>LOYA TAFOLLA LUIS FERNANDO</t>
  </si>
  <si>
    <t xml:space="preserve">24140540  </t>
  </si>
  <si>
    <t>LOPEZ ORTIZ ANGEL AMAURY</t>
  </si>
  <si>
    <t xml:space="preserve">25140823  </t>
  </si>
  <si>
    <t>LOARCA HERNANDEZ CHRISTOPHER</t>
  </si>
  <si>
    <t xml:space="preserve">25140923  </t>
  </si>
  <si>
    <t>HERNÁNDEZ GÓMEZ ASHLEY SAMARA</t>
  </si>
  <si>
    <t xml:space="preserve">24140531  </t>
  </si>
  <si>
    <t>HERNANDEZ VALDESPINO CARLOS EDUARDO</t>
  </si>
  <si>
    <t xml:space="preserve">24140124  </t>
  </si>
  <si>
    <t>HERNANDEZ HURTADO ANA CECILIA</t>
  </si>
  <si>
    <t xml:space="preserve">23141082  </t>
  </si>
  <si>
    <t>GUERRERO HERNANDEZ ZAID TADEO</t>
  </si>
  <si>
    <t xml:space="preserve">C22140258 </t>
  </si>
  <si>
    <t>GONZÁLEZ CONTRERAS JULIÁN</t>
  </si>
  <si>
    <t xml:space="preserve">25140806  </t>
  </si>
  <si>
    <t>GONZALEZ DIAZ SILVIA LILIANA</t>
  </si>
  <si>
    <t xml:space="preserve">24141291  </t>
  </si>
  <si>
    <t>GASTELUM MOLINA CAMILA FERNANDA</t>
  </si>
  <si>
    <t xml:space="preserve">25140208  </t>
  </si>
  <si>
    <t>CRUZ OLVERA ERICK EMMANUEL</t>
  </si>
  <si>
    <t xml:space="preserve">24140700  </t>
  </si>
  <si>
    <t>CASTILLO SANCHEZ MARIA GUADALUPE</t>
  </si>
  <si>
    <t xml:space="preserve">25140146  </t>
  </si>
  <si>
    <t>CAMARENA PICHARDO SEBASTIAN</t>
  </si>
  <si>
    <t xml:space="preserve">C23140748 </t>
  </si>
  <si>
    <t>ALBA REYES JOSÉ RODRIGO</t>
  </si>
  <si>
    <t xml:space="preserve">25140880  </t>
  </si>
  <si>
    <t>Complejos</t>
  </si>
  <si>
    <t>Areas
curvas</t>
  </si>
  <si>
    <t>GARCÍA GARCÍA DIEGO</t>
  </si>
  <si>
    <t>Prerequisitos_27</t>
  </si>
  <si>
    <t>Prerequisitos_28</t>
  </si>
  <si>
    <t>Tareita_2</t>
  </si>
  <si>
    <t>Campos</t>
  </si>
  <si>
    <t>Prereq
 27</t>
  </si>
  <si>
    <t>Prereq
 28</t>
  </si>
  <si>
    <t>Desigualdades</t>
  </si>
  <si>
    <t>Rio Watanabe</t>
  </si>
  <si>
    <t>Desigualdades
2</t>
  </si>
  <si>
    <t>Desigualdades
1</t>
  </si>
  <si>
    <t>15 horas</t>
  </si>
  <si>
    <t>ING</t>
  </si>
  <si>
    <t>08 HORAS</t>
  </si>
  <si>
    <t>18 HORAS</t>
  </si>
  <si>
    <t>NO CTRL</t>
  </si>
  <si>
    <t>Primer 
Parcial</t>
  </si>
  <si>
    <t>Procedimiento</t>
  </si>
  <si>
    <t>Operaciones</t>
  </si>
  <si>
    <t>Resultado</t>
  </si>
  <si>
    <t>Puntos</t>
  </si>
  <si>
    <t>Problema 1</t>
  </si>
  <si>
    <t>Calificacion</t>
  </si>
  <si>
    <t>Puntaje
obtenido</t>
  </si>
  <si>
    <t>Problema 1 - PARTE 1</t>
  </si>
  <si>
    <t>Problema 2 - PARTE 1</t>
  </si>
  <si>
    <t>Problema 3 - PARTE 2</t>
  </si>
  <si>
    <t>Problema 4 - PARTE 2</t>
  </si>
  <si>
    <t>Gráfica</t>
  </si>
  <si>
    <t>Intervalo</t>
  </si>
  <si>
    <t>Problema 5- PARTE 3</t>
  </si>
  <si>
    <t>Problema 6 - PARTE 3</t>
  </si>
  <si>
    <t>Problema 7 - PARTE 4</t>
  </si>
  <si>
    <t>Problema 8 - PARTE 4</t>
  </si>
  <si>
    <t>EXTRAS</t>
  </si>
  <si>
    <t>PUNTAJE
FINAL</t>
  </si>
  <si>
    <t>Intervalo/
 CS</t>
  </si>
  <si>
    <t>Adicionales</t>
  </si>
  <si>
    <t>PORTAFOLIO</t>
  </si>
  <si>
    <t>ASISTENCIAS</t>
  </si>
  <si>
    <t>CRUZ MARTINEZ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</si>
</sst>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1"/>
    <xf numFmtId="0" fontId="5" fillId="3" borderId="1" xfId="1" applyFill="1" applyBorder="1"/>
    <xf numFmtId="0" fontId="5" fillId="3" borderId="1" xfId="1" applyFill="1" applyBorder="1" applyAlignment="1">
      <alignment horizontal="center"/>
    </xf>
    <xf numFmtId="0" fontId="5" fillId="4" borderId="1" xfId="1" applyFill="1" applyBorder="1"/>
    <xf numFmtId="0" fontId="5" fillId="4" borderId="1" xfId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6" fillId="3" borderId="1" xfId="1" applyFont="1" applyFill="1" applyBorder="1"/>
    <xf numFmtId="0" fontId="6" fillId="4" borderId="1" xfId="1" applyFont="1" applyFill="1" applyBorder="1"/>
    <xf numFmtId="0" fontId="2" fillId="2" borderId="1" xfId="1" applyFont="1" applyFill="1" applyBorder="1" applyAlignment="1">
      <alignment horizontal="left"/>
    </xf>
    <xf numFmtId="0" fontId="5" fillId="3" borderId="1" xfId="1" applyFill="1" applyBorder="1" applyAlignment="1">
      <alignment horizontal="left"/>
    </xf>
    <xf numFmtId="0" fontId="5" fillId="4" borderId="1" xfId="1" applyFill="1" applyBorder="1" applyAlignment="1">
      <alignment horizontal="left"/>
    </xf>
    <xf numFmtId="0" fontId="5" fillId="0" borderId="0" xfId="1" applyAlignment="1">
      <alignment horizontal="left"/>
    </xf>
    <xf numFmtId="0" fontId="5" fillId="5" borderId="1" xfId="1" applyFill="1" applyBorder="1"/>
    <xf numFmtId="0" fontId="5" fillId="6" borderId="1" xfId="1" applyFill="1" applyBorder="1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0" borderId="0" xfId="1" applyFont="1"/>
    <xf numFmtId="0" fontId="2" fillId="2" borderId="6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/>
    </xf>
    <xf numFmtId="0" fontId="7" fillId="5" borderId="1" xfId="1" applyFont="1" applyFill="1" applyBorder="1"/>
    <xf numFmtId="0" fontId="2" fillId="2" borderId="2" xfId="1" applyFont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/>
    </xf>
    <xf numFmtId="0" fontId="7" fillId="5" borderId="10" xfId="1" applyFont="1" applyFill="1" applyBorder="1"/>
    <xf numFmtId="0" fontId="5" fillId="3" borderId="12" xfId="1" applyFill="1" applyBorder="1"/>
    <xf numFmtId="0" fontId="5" fillId="4" borderId="12" xfId="1" applyFill="1" applyBorder="1"/>
    <xf numFmtId="0" fontId="2" fillId="2" borderId="0" xfId="1" applyFont="1" applyFill="1" applyAlignment="1">
      <alignment horizontal="center" wrapText="1"/>
    </xf>
    <xf numFmtId="0" fontId="2" fillId="2" borderId="15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 wrapText="1"/>
    </xf>
    <xf numFmtId="0" fontId="2" fillId="2" borderId="18" xfId="1" applyFont="1" applyFill="1" applyBorder="1" applyAlignment="1">
      <alignment horizontal="center" wrapText="1"/>
    </xf>
    <xf numFmtId="0" fontId="2" fillId="2" borderId="19" xfId="1" applyFont="1" applyFill="1" applyBorder="1" applyAlignment="1">
      <alignment horizontal="center" wrapText="1"/>
    </xf>
    <xf numFmtId="0" fontId="2" fillId="2" borderId="20" xfId="1" applyFont="1" applyFill="1" applyBorder="1" applyAlignment="1">
      <alignment horizontal="center" wrapText="1"/>
    </xf>
    <xf numFmtId="0" fontId="2" fillId="2" borderId="21" xfId="1" applyFont="1" applyFill="1" applyBorder="1" applyAlignment="1">
      <alignment horizontal="center"/>
    </xf>
    <xf numFmtId="0" fontId="5" fillId="3" borderId="20" xfId="1" applyFill="1" applyBorder="1"/>
    <xf numFmtId="0" fontId="5" fillId="4" borderId="20" xfId="1" applyFill="1" applyBorder="1"/>
    <xf numFmtId="0" fontId="5" fillId="3" borderId="22" xfId="1" applyFill="1" applyBorder="1"/>
    <xf numFmtId="0" fontId="5" fillId="3" borderId="23" xfId="1" applyFill="1" applyBorder="1"/>
    <xf numFmtId="0" fontId="6" fillId="7" borderId="1" xfId="1" applyFont="1" applyFill="1" applyBorder="1"/>
    <xf numFmtId="0" fontId="2" fillId="2" borderId="0" xfId="1" applyFont="1" applyFill="1" applyAlignment="1">
      <alignment horizontal="center" textRotation="255"/>
    </xf>
    <xf numFmtId="0" fontId="2" fillId="2" borderId="8" xfId="1" applyFont="1" applyFill="1" applyBorder="1" applyAlignment="1">
      <alignment horizontal="center" textRotation="255"/>
    </xf>
    <xf numFmtId="0" fontId="6" fillId="4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5" fillId="3" borderId="13" xfId="1" applyFill="1" applyBorder="1" applyAlignment="1">
      <alignment horizontal="center"/>
    </xf>
    <xf numFmtId="0" fontId="5" fillId="3" borderId="24" xfId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7" fillId="5" borderId="11" xfId="1" applyFont="1" applyFill="1" applyBorder="1"/>
    <xf numFmtId="0" fontId="7" fillId="5" borderId="9" xfId="1" applyFont="1" applyFill="1" applyBorder="1"/>
    <xf numFmtId="0" fontId="5" fillId="7" borderId="1" xfId="1" applyFill="1" applyBorder="1"/>
    <xf numFmtId="0" fontId="2" fillId="2" borderId="4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 textRotation="255"/>
    </xf>
    <xf numFmtId="0" fontId="2" fillId="2" borderId="8" xfId="1" applyFont="1" applyFill="1" applyBorder="1" applyAlignment="1">
      <alignment horizontal="center" textRotation="255"/>
    </xf>
    <xf numFmtId="0" fontId="5" fillId="3" borderId="13" xfId="1" applyFill="1" applyBorder="1" applyAlignment="1">
      <alignment horizontal="center"/>
    </xf>
    <xf numFmtId="0" fontId="5" fillId="3" borderId="24" xfId="1" applyFill="1" applyBorder="1" applyAlignment="1">
      <alignment horizontal="center"/>
    </xf>
    <xf numFmtId="0" fontId="5" fillId="3" borderId="14" xfId="1" applyFill="1" applyBorder="1" applyAlignment="1">
      <alignment horizontal="center"/>
    </xf>
    <xf numFmtId="0" fontId="2" fillId="2" borderId="4" xfId="1" applyFont="1" applyFill="1" applyBorder="1" applyAlignment="1">
      <alignment horizontal="center" wrapText="1"/>
    </xf>
    <xf numFmtId="0" fontId="2" fillId="2" borderId="0" xfId="1" applyFont="1" applyFill="1" applyAlignment="1">
      <alignment horizontal="center" wrapText="1"/>
    </xf>
    <xf numFmtId="0" fontId="2" fillId="2" borderId="15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 wrapText="1"/>
    </xf>
    <xf numFmtId="0" fontId="2" fillId="2" borderId="18" xfId="1" applyFont="1" applyFill="1" applyBorder="1" applyAlignment="1">
      <alignment horizontal="center" wrapText="1"/>
    </xf>
    <xf numFmtId="0" fontId="2" fillId="2" borderId="19" xfId="1" applyFont="1" applyFill="1" applyBorder="1" applyAlignment="1">
      <alignment horizontal="center" wrapText="1"/>
    </xf>
    <xf numFmtId="0" fontId="5" fillId="3" borderId="2" xfId="1" applyFill="1" applyBorder="1" applyAlignment="1">
      <alignment horizontal="center"/>
    </xf>
    <xf numFmtId="0" fontId="5" fillId="3" borderId="9" xfId="1" applyFill="1" applyBorder="1" applyAlignment="1">
      <alignment horizontal="center"/>
    </xf>
    <xf numFmtId="0" fontId="5" fillId="3" borderId="3" xfId="1" applyFill="1" applyBorder="1" applyAlignment="1">
      <alignment horizontal="center"/>
    </xf>
    <xf numFmtId="0" fontId="5" fillId="3" borderId="4" xfId="1" applyFill="1" applyBorder="1" applyAlignment="1">
      <alignment horizontal="center"/>
    </xf>
    <xf numFmtId="0" fontId="5" fillId="3" borderId="0" xfId="1" applyFill="1" applyAlignment="1">
      <alignment horizontal="center"/>
    </xf>
    <xf numFmtId="0" fontId="5" fillId="3" borderId="5" xfId="1" applyFill="1" applyBorder="1" applyAlignment="1">
      <alignment horizontal="center"/>
    </xf>
    <xf numFmtId="0" fontId="5" fillId="3" borderId="6" xfId="1" applyFill="1" applyBorder="1" applyAlignment="1">
      <alignment horizontal="center"/>
    </xf>
    <xf numFmtId="0" fontId="5" fillId="3" borderId="8" xfId="1" applyFill="1" applyBorder="1" applyAlignment="1">
      <alignment horizontal="center"/>
    </xf>
    <xf numFmtId="0" fontId="5" fillId="3" borderId="7" xfId="1" applyFill="1" applyBorder="1" applyAlignment="1">
      <alignment horizontal="center"/>
    </xf>
    <xf numFmtId="0" fontId="5" fillId="0" borderId="0" xfId="1"/>
    <xf numFmtId="0" fontId="1" fillId="0" borderId="0" xfId="1" applyFont="1" applyAlignment="1">
      <alignment horizontal="center"/>
    </xf>
    <xf numFmtId="0" fontId="5" fillId="0" borderId="0" xfId="1" applyAlignment="1">
      <alignment horizontal="center"/>
    </xf>
    <xf numFmtId="0" fontId="5" fillId="8" borderId="27" xfId="1" applyFill="1" applyBorder="1" applyAlignment="1">
      <alignment horizontal="center"/>
    </xf>
    <xf numFmtId="0" fontId="5" fillId="8" borderId="25" xfId="1" applyFill="1" applyBorder="1" applyAlignment="1">
      <alignment horizontal="center"/>
    </xf>
    <xf numFmtId="0" fontId="5" fillId="8" borderId="26" xfId="1" applyFill="1" applyBorder="1" applyAlignment="1">
      <alignment horizontal="center"/>
    </xf>
    <xf numFmtId="0" fontId="2" fillId="2" borderId="25" xfId="1" applyFont="1" applyFill="1" applyBorder="1" applyAlignment="1">
      <alignment horizontal="center" wrapText="1"/>
    </xf>
    <xf numFmtId="0" fontId="2" fillId="2" borderId="26" xfId="1" applyFont="1" applyFill="1" applyBorder="1" applyAlignment="1">
      <alignment horizontal="center" wrapText="1"/>
    </xf>
    <xf numFmtId="0" fontId="5" fillId="9" borderId="1" xfId="1" applyFill="1" applyBorder="1"/>
    <xf numFmtId="0" fontId="5" fillId="9" borderId="1" xfId="1" applyFill="1" applyBorder="1" applyAlignment="1">
      <alignment horizontal="left"/>
    </xf>
    <xf numFmtId="0" fontId="7" fillId="9" borderId="1" xfId="1" applyFont="1" applyFill="1" applyBorder="1"/>
    <xf numFmtId="0" fontId="7" fillId="9" borderId="10" xfId="1" applyFont="1" applyFill="1" applyBorder="1"/>
    <xf numFmtId="0" fontId="7" fillId="9" borderId="11" xfId="1" applyFont="1" applyFill="1" applyBorder="1"/>
    <xf numFmtId="0" fontId="5" fillId="9" borderId="20" xfId="1" applyFill="1" applyBorder="1"/>
    <xf numFmtId="0" fontId="6" fillId="9" borderId="1" xfId="1" applyFont="1" applyFill="1" applyBorder="1"/>
    <xf numFmtId="0" fontId="5" fillId="9" borderId="12" xfId="1" applyFill="1" applyBorder="1"/>
    <xf numFmtId="0" fontId="5" fillId="9" borderId="24" xfId="1" applyFill="1" applyBorder="1" applyAlignment="1">
      <alignment horizontal="center"/>
    </xf>
    <xf numFmtId="0" fontId="5" fillId="10" borderId="0" xfId="1" applyFill="1"/>
    <xf numFmtId="0" fontId="5" fillId="9" borderId="13" xfId="1" applyFill="1" applyBorder="1" applyAlignment="1">
      <alignment horizontal="center"/>
    </xf>
    <xf numFmtId="0" fontId="5" fillId="9" borderId="1" xfId="1" applyFill="1" applyBorder="1" applyAlignment="1">
      <alignment horizontal="center"/>
    </xf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7138F740-6B29-1345-8978-41254A7A1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1:CG41"/>
  <sheetViews>
    <sheetView topLeftCell="C1" zoomScale="125" workbookViewId="0">
      <pane xSplit="7" ySplit="13" topLeftCell="J14" activePane="bottomRight" state="frozen"/>
      <selection activeCell="C1" sqref="C1"/>
      <selection pane="topRight" activeCell="H1" sqref="H1"/>
      <selection pane="bottomLeft" activeCell="C14" sqref="C14"/>
      <selection pane="bottomRight" activeCell="C23" sqref="A23:XFD2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36.6640625" style="15" bestFit="1" customWidth="1"/>
    <col min="4" max="6" width="14.33203125" style="4" hidden="1" customWidth="1"/>
    <col min="7" max="8" width="10.83203125" style="4" hidden="1" customWidth="1"/>
    <col min="9" max="12" width="14.33203125" style="4" customWidth="1"/>
    <col min="13" max="13" width="13" style="4" customWidth="1"/>
    <col min="14" max="14" width="14" style="4" customWidth="1"/>
    <col min="15" max="17" width="8.83203125" style="4"/>
    <col min="18" max="18" width="9.83203125" style="4" bestFit="1" customWidth="1"/>
    <col min="19" max="19" width="12.5" style="4" customWidth="1"/>
    <col min="20" max="20" width="10.83203125" style="4" bestFit="1" customWidth="1"/>
    <col min="21" max="21" width="9" style="4" bestFit="1" customWidth="1"/>
    <col min="22" max="24" width="8.83203125" style="4"/>
    <col min="25" max="25" width="12.5" style="4" customWidth="1"/>
    <col min="26" max="26" width="10.83203125" style="4" bestFit="1" customWidth="1"/>
    <col min="27" max="27" width="9" style="4" bestFit="1" customWidth="1"/>
    <col min="28" max="30" width="8.83203125" style="4"/>
    <col min="31" max="31" width="12.5" style="4" customWidth="1"/>
    <col min="32" max="32" width="10.83203125" style="4" bestFit="1" customWidth="1"/>
    <col min="33" max="33" width="9" style="4" bestFit="1" customWidth="1"/>
    <col min="34" max="36" width="8.83203125" style="4"/>
    <col min="37" max="37" width="12.5" style="4" customWidth="1"/>
    <col min="38" max="38" width="10.83203125" style="4" bestFit="1" customWidth="1"/>
    <col min="39" max="39" width="9" style="4" bestFit="1" customWidth="1"/>
    <col min="40" max="42" width="8.83203125" style="4"/>
    <col min="43" max="43" width="12.5" style="4" customWidth="1"/>
    <col min="44" max="44" width="10.83203125" style="4" bestFit="1" customWidth="1"/>
    <col min="45" max="45" width="9" style="4" bestFit="1" customWidth="1"/>
    <col min="46" max="48" width="8.83203125" style="4"/>
    <col min="49" max="49" width="12.5" style="4" customWidth="1"/>
    <col min="50" max="50" width="10.83203125" style="4" bestFit="1" customWidth="1"/>
    <col min="51" max="51" width="9" style="4" bestFit="1" customWidth="1"/>
    <col min="52" max="54" width="8.83203125" style="4"/>
    <col min="55" max="55" width="12.5" style="4" customWidth="1"/>
    <col min="56" max="56" width="10.83203125" style="4" bestFit="1" customWidth="1"/>
    <col min="57" max="57" width="9" style="4" bestFit="1" customWidth="1"/>
    <col min="58" max="60" width="8.83203125" style="4"/>
    <col min="61" max="61" width="3.33203125" style="4" bestFit="1" customWidth="1"/>
    <col min="62" max="62" width="12.5" style="4" customWidth="1"/>
    <col min="63" max="63" width="10.83203125" style="4" bestFit="1" customWidth="1"/>
    <col min="64" max="64" width="9" style="4" bestFit="1" customWidth="1"/>
    <col min="65" max="67" width="8.83203125" style="4"/>
    <col min="68" max="68" width="12.5" style="4" customWidth="1"/>
    <col min="69" max="69" width="10.83203125" style="4" bestFit="1" customWidth="1"/>
    <col min="70" max="70" width="9" style="4" bestFit="1" customWidth="1"/>
    <col min="71" max="73" width="8.83203125" style="4"/>
    <col min="74" max="74" width="12.5" style="4" customWidth="1"/>
    <col min="75" max="75" width="10.83203125" style="4" bestFit="1" customWidth="1"/>
    <col min="76" max="76" width="9" style="4" bestFit="1" customWidth="1"/>
    <col min="77" max="79" width="8.83203125" style="4"/>
    <col min="80" max="80" width="12.5" style="4" customWidth="1"/>
    <col min="81" max="81" width="10.83203125" style="4" bestFit="1" customWidth="1"/>
    <col min="82" max="82" width="10.83203125" style="4" customWidth="1"/>
    <col min="83" max="16384" width="8.83203125" style="4"/>
  </cols>
  <sheetData>
    <row r="1" spans="1:85" ht="45" customHeight="1" thickBot="1" x14ac:dyDescent="0.25">
      <c r="C1" s="15" t="s">
        <v>2</v>
      </c>
      <c r="M1" s="70" t="s">
        <v>858</v>
      </c>
      <c r="N1" s="71"/>
      <c r="O1" s="71"/>
      <c r="P1" s="36"/>
      <c r="Q1" s="36"/>
      <c r="R1" s="29"/>
      <c r="V1" s="36"/>
      <c r="W1" s="36"/>
      <c r="X1" s="29"/>
      <c r="AB1" s="36"/>
      <c r="AC1" s="36"/>
      <c r="AD1" s="29"/>
      <c r="AH1" s="36"/>
      <c r="AI1" s="36"/>
      <c r="AJ1" s="29"/>
      <c r="AN1" s="25"/>
      <c r="AO1" s="25"/>
      <c r="AP1" s="9"/>
      <c r="AT1" s="25"/>
      <c r="AU1" s="25"/>
      <c r="AV1" s="9"/>
      <c r="AZ1" s="25"/>
      <c r="BA1" s="25"/>
      <c r="BB1" s="9"/>
      <c r="BF1" s="25"/>
      <c r="BG1" s="25"/>
      <c r="BH1" s="9"/>
      <c r="BI1" s="65" t="s">
        <v>876</v>
      </c>
      <c r="BM1" s="25"/>
      <c r="BN1" s="25"/>
      <c r="BO1" s="9"/>
      <c r="BS1" s="25"/>
      <c r="BT1" s="25"/>
      <c r="BU1" s="9"/>
      <c r="BY1" s="25"/>
      <c r="BZ1" s="25"/>
      <c r="CA1" s="9"/>
      <c r="CE1" s="25"/>
      <c r="CF1" s="25"/>
      <c r="CG1" s="9"/>
    </row>
    <row r="2" spans="1:85" ht="15" customHeight="1" x14ac:dyDescent="0.2">
      <c r="G2" s="18"/>
      <c r="H2" s="18"/>
      <c r="I2" s="9"/>
      <c r="J2" s="52"/>
      <c r="K2" s="63" t="s">
        <v>865</v>
      </c>
      <c r="L2" s="36"/>
      <c r="M2" s="72" t="s">
        <v>866</v>
      </c>
      <c r="N2" s="73"/>
      <c r="O2" s="73"/>
      <c r="P2" s="73"/>
      <c r="Q2" s="73"/>
      <c r="R2" s="74"/>
      <c r="S2" s="75" t="s">
        <v>867</v>
      </c>
      <c r="T2" s="73"/>
      <c r="U2" s="73"/>
      <c r="V2" s="73"/>
      <c r="W2" s="73"/>
      <c r="X2" s="76"/>
      <c r="Y2" s="72" t="s">
        <v>868</v>
      </c>
      <c r="Z2" s="73"/>
      <c r="AA2" s="73"/>
      <c r="AB2" s="73"/>
      <c r="AC2" s="73"/>
      <c r="AD2" s="73"/>
      <c r="AE2" s="75" t="s">
        <v>869</v>
      </c>
      <c r="AF2" s="73"/>
      <c r="AG2" s="73"/>
      <c r="AH2" s="73"/>
      <c r="AI2" s="73"/>
      <c r="AJ2" s="76"/>
      <c r="AK2" s="62" t="s">
        <v>872</v>
      </c>
      <c r="AL2" s="62"/>
      <c r="AM2" s="62"/>
      <c r="AN2" s="62"/>
      <c r="AO2" s="62"/>
      <c r="AP2" s="62"/>
      <c r="AQ2" s="61" t="s">
        <v>873</v>
      </c>
      <c r="AR2" s="62"/>
      <c r="AS2" s="62"/>
      <c r="AT2" s="62"/>
      <c r="AU2" s="62"/>
      <c r="AV2" s="62"/>
      <c r="AW2" s="61" t="s">
        <v>874</v>
      </c>
      <c r="AX2" s="62"/>
      <c r="AY2" s="62"/>
      <c r="AZ2" s="62"/>
      <c r="BA2" s="62"/>
      <c r="BB2" s="62"/>
      <c r="BC2" s="61" t="s">
        <v>875</v>
      </c>
      <c r="BD2" s="62"/>
      <c r="BE2" s="62"/>
      <c r="BF2" s="62"/>
      <c r="BG2" s="62"/>
      <c r="BH2" s="62"/>
      <c r="BI2" s="65"/>
      <c r="BJ2" s="61" t="s">
        <v>863</v>
      </c>
      <c r="BK2" s="62"/>
      <c r="BL2" s="62"/>
      <c r="BM2" s="62"/>
      <c r="BN2" s="62"/>
      <c r="BO2" s="62"/>
      <c r="BP2" s="61" t="s">
        <v>863</v>
      </c>
      <c r="BQ2" s="62"/>
      <c r="BR2" s="62"/>
      <c r="BS2" s="62"/>
      <c r="BT2" s="62"/>
      <c r="BU2" s="62"/>
      <c r="BV2" s="61" t="s">
        <v>863</v>
      </c>
      <c r="BW2" s="62"/>
      <c r="BX2" s="62"/>
      <c r="BY2" s="62"/>
      <c r="BZ2" s="62"/>
      <c r="CA2" s="62"/>
      <c r="CB2" s="61" t="s">
        <v>863</v>
      </c>
      <c r="CC2" s="62"/>
      <c r="CD2" s="62"/>
      <c r="CE2" s="62"/>
      <c r="CF2" s="62"/>
      <c r="CG2" s="62"/>
    </row>
    <row r="3" spans="1:85" ht="48" x14ac:dyDescent="0.2">
      <c r="A3" s="9" t="s">
        <v>5</v>
      </c>
      <c r="B3" s="9" t="s">
        <v>6</v>
      </c>
      <c r="C3" s="12" t="s">
        <v>7</v>
      </c>
      <c r="D3" s="9" t="s">
        <v>843</v>
      </c>
      <c r="E3" s="9" t="s">
        <v>844</v>
      </c>
      <c r="F3" s="9" t="s">
        <v>849</v>
      </c>
      <c r="G3" s="9" t="s">
        <v>880</v>
      </c>
      <c r="H3" s="9" t="s">
        <v>881</v>
      </c>
      <c r="I3" s="9" t="s">
        <v>864</v>
      </c>
      <c r="J3" s="24" t="s">
        <v>877</v>
      </c>
      <c r="K3" s="64"/>
      <c r="L3" s="56" t="s">
        <v>879</v>
      </c>
      <c r="M3" s="42" t="s">
        <v>859</v>
      </c>
      <c r="N3" s="9" t="s">
        <v>860</v>
      </c>
      <c r="O3" s="9" t="s">
        <v>861</v>
      </c>
      <c r="P3" s="9" t="s">
        <v>870</v>
      </c>
      <c r="Q3" s="18" t="s">
        <v>878</v>
      </c>
      <c r="R3" s="9" t="s">
        <v>862</v>
      </c>
      <c r="S3" s="18" t="s">
        <v>859</v>
      </c>
      <c r="T3" s="9" t="s">
        <v>860</v>
      </c>
      <c r="U3" s="9" t="s">
        <v>861</v>
      </c>
      <c r="V3" s="9" t="s">
        <v>870</v>
      </c>
      <c r="W3" s="18" t="s">
        <v>878</v>
      </c>
      <c r="X3" s="43" t="s">
        <v>862</v>
      </c>
      <c r="Y3" s="42" t="s">
        <v>859</v>
      </c>
      <c r="Z3" s="9" t="s">
        <v>860</v>
      </c>
      <c r="AA3" s="9" t="s">
        <v>861</v>
      </c>
      <c r="AB3" s="9" t="s">
        <v>870</v>
      </c>
      <c r="AC3" s="18" t="s">
        <v>878</v>
      </c>
      <c r="AD3" s="9" t="s">
        <v>862</v>
      </c>
      <c r="AE3" s="18" t="s">
        <v>859</v>
      </c>
      <c r="AF3" s="9" t="s">
        <v>860</v>
      </c>
      <c r="AG3" s="9" t="s">
        <v>861</v>
      </c>
      <c r="AH3" s="9" t="s">
        <v>870</v>
      </c>
      <c r="AI3" s="18" t="s">
        <v>878</v>
      </c>
      <c r="AJ3" s="43" t="s">
        <v>862</v>
      </c>
      <c r="AK3" s="28" t="s">
        <v>859</v>
      </c>
      <c r="AL3" s="9" t="s">
        <v>860</v>
      </c>
      <c r="AM3" s="9" t="s">
        <v>861</v>
      </c>
      <c r="AN3" s="9" t="s">
        <v>870</v>
      </c>
      <c r="AO3" s="18" t="s">
        <v>878</v>
      </c>
      <c r="AP3" s="9" t="s">
        <v>862</v>
      </c>
      <c r="AQ3" s="18" t="s">
        <v>859</v>
      </c>
      <c r="AR3" s="9" t="s">
        <v>860</v>
      </c>
      <c r="AS3" s="9" t="s">
        <v>861</v>
      </c>
      <c r="AT3" s="9" t="s">
        <v>870</v>
      </c>
      <c r="AU3" s="18" t="s">
        <v>878</v>
      </c>
      <c r="AV3" s="9" t="s">
        <v>862</v>
      </c>
      <c r="AW3" s="18" t="s">
        <v>859</v>
      </c>
      <c r="AX3" s="9" t="s">
        <v>860</v>
      </c>
      <c r="AY3" s="9" t="s">
        <v>861</v>
      </c>
      <c r="AZ3" s="9" t="s">
        <v>870</v>
      </c>
      <c r="BA3" s="18" t="s">
        <v>878</v>
      </c>
      <c r="BB3" s="9" t="s">
        <v>862</v>
      </c>
      <c r="BC3" s="18" t="s">
        <v>859</v>
      </c>
      <c r="BD3" s="9" t="s">
        <v>860</v>
      </c>
      <c r="BE3" s="9" t="s">
        <v>861</v>
      </c>
      <c r="BF3" s="9" t="s">
        <v>870</v>
      </c>
      <c r="BG3" s="18" t="s">
        <v>878</v>
      </c>
      <c r="BH3" s="9" t="s">
        <v>862</v>
      </c>
      <c r="BI3" s="66"/>
      <c r="BJ3" s="18" t="s">
        <v>859</v>
      </c>
      <c r="BK3" s="9" t="s">
        <v>860</v>
      </c>
      <c r="BL3" s="9" t="s">
        <v>861</v>
      </c>
      <c r="BM3" s="9" t="s">
        <v>870</v>
      </c>
      <c r="BN3" s="9" t="s">
        <v>871</v>
      </c>
      <c r="BO3" s="9" t="s">
        <v>862</v>
      </c>
      <c r="BP3" s="18" t="s">
        <v>859</v>
      </c>
      <c r="BQ3" s="9" t="s">
        <v>860</v>
      </c>
      <c r="BR3" s="9" t="s">
        <v>861</v>
      </c>
      <c r="BS3" s="9" t="s">
        <v>870</v>
      </c>
      <c r="BT3" s="9" t="s">
        <v>871</v>
      </c>
      <c r="BU3" s="9" t="s">
        <v>862</v>
      </c>
      <c r="BV3" s="18" t="s">
        <v>859</v>
      </c>
      <c r="BW3" s="9" t="s">
        <v>860</v>
      </c>
      <c r="BX3" s="9" t="s">
        <v>861</v>
      </c>
      <c r="BY3" s="9" t="s">
        <v>870</v>
      </c>
      <c r="BZ3" s="9" t="s">
        <v>871</v>
      </c>
      <c r="CA3" s="9" t="s">
        <v>862</v>
      </c>
      <c r="CB3" s="18" t="s">
        <v>859</v>
      </c>
      <c r="CC3" s="9" t="s">
        <v>860</v>
      </c>
      <c r="CD3" s="9" t="s">
        <v>861</v>
      </c>
      <c r="CE3" s="9" t="s">
        <v>870</v>
      </c>
      <c r="CF3" s="9" t="s">
        <v>871</v>
      </c>
      <c r="CG3" s="9" t="s">
        <v>862</v>
      </c>
    </row>
    <row r="4" spans="1:85" ht="16" x14ac:dyDescent="0.2">
      <c r="A4" s="5" t="s">
        <v>300</v>
      </c>
      <c r="B4" s="5">
        <v>1</v>
      </c>
      <c r="C4" s="13" t="s">
        <v>299</v>
      </c>
      <c r="D4" s="6">
        <v>1</v>
      </c>
      <c r="E4" s="5"/>
      <c r="F4" s="5">
        <v>1</v>
      </c>
      <c r="G4" s="59">
        <v>2</v>
      </c>
      <c r="H4" s="59">
        <v>1</v>
      </c>
      <c r="I4" s="30">
        <f>J4*0.7+G4*20+H4*10</f>
        <v>90.775000000000006</v>
      </c>
      <c r="J4" s="33">
        <f>IF(K4&gt;=100,100,K4)</f>
        <v>58.25</v>
      </c>
      <c r="K4" s="33">
        <f>R4*10+X4*10+AD4*15+AJ4*15+AP4*15+AV4*15+BB4*20+BH4*20+L4</f>
        <v>58.25</v>
      </c>
      <c r="L4" s="57"/>
      <c r="M4" s="44">
        <v>1</v>
      </c>
      <c r="N4" s="5">
        <v>1</v>
      </c>
      <c r="O4" s="5">
        <v>1</v>
      </c>
      <c r="P4" s="5">
        <v>1</v>
      </c>
      <c r="Q4" s="5">
        <v>1</v>
      </c>
      <c r="R4" s="48">
        <f>AVERAGE(M4:Q4)</f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48">
        <f>AVERAGE(S4:W4)</f>
        <v>1</v>
      </c>
      <c r="Y4" s="44">
        <v>1</v>
      </c>
      <c r="Z4" s="5">
        <v>1</v>
      </c>
      <c r="AA4" s="5">
        <v>1</v>
      </c>
      <c r="AB4" s="5">
        <v>0</v>
      </c>
      <c r="AC4" s="5">
        <v>1</v>
      </c>
      <c r="AD4" s="48">
        <f>AVERAGE(Y4:AC4)</f>
        <v>0.8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48">
        <f>AVERAGE(AE4:AI4)</f>
        <v>0.8</v>
      </c>
      <c r="AK4" s="34">
        <v>0.75</v>
      </c>
      <c r="AL4" s="5">
        <v>1</v>
      </c>
      <c r="AM4" s="5">
        <v>0.5</v>
      </c>
      <c r="AN4" s="5">
        <v>0</v>
      </c>
      <c r="AO4" s="5">
        <v>0</v>
      </c>
      <c r="AP4" s="48">
        <f>AVERAGE(AK4:AO4)</f>
        <v>0.45</v>
      </c>
      <c r="AQ4" s="5">
        <v>1</v>
      </c>
      <c r="AR4" s="5">
        <v>1</v>
      </c>
      <c r="AS4" s="5">
        <v>0.5</v>
      </c>
      <c r="AT4" s="5">
        <v>0</v>
      </c>
      <c r="AU4" s="5">
        <v>0</v>
      </c>
      <c r="AV4" s="48">
        <f>AVERAGE(AQ4:AU4)</f>
        <v>0.5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48">
        <f>AVERAGE(AW4:BA4)</f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48">
        <f>AVERAGE(BC4:BG4)</f>
        <v>0</v>
      </c>
      <c r="BI4" s="67"/>
      <c r="BJ4" s="5"/>
      <c r="BK4" s="5"/>
      <c r="BL4" s="5"/>
      <c r="BM4" s="5"/>
      <c r="BN4" s="5"/>
      <c r="BO4" s="48">
        <f>SUM(BJ4:BN4)/5</f>
        <v>0</v>
      </c>
      <c r="BP4" s="5"/>
      <c r="BQ4" s="5"/>
      <c r="BR4" s="5"/>
      <c r="BS4" s="5"/>
      <c r="BT4" s="5"/>
      <c r="BU4" s="48">
        <f>SUM(BP4:BT4)/5</f>
        <v>0</v>
      </c>
      <c r="BV4" s="5"/>
      <c r="BW4" s="5"/>
      <c r="BX4" s="5"/>
      <c r="BY4" s="5"/>
      <c r="BZ4" s="5"/>
      <c r="CA4" s="48">
        <f>SUM(BV4:BZ4)/5</f>
        <v>0</v>
      </c>
      <c r="CB4" s="5"/>
      <c r="CC4" s="5"/>
      <c r="CD4" s="5"/>
      <c r="CE4" s="5"/>
      <c r="CF4" s="5"/>
      <c r="CG4" s="48">
        <f>SUM(CB4:CF4)/5</f>
        <v>0</v>
      </c>
    </row>
    <row r="5" spans="1:85" ht="16" x14ac:dyDescent="0.2">
      <c r="A5" s="7" t="s">
        <v>298</v>
      </c>
      <c r="B5" s="7">
        <v>1</v>
      </c>
      <c r="C5" s="14" t="s">
        <v>297</v>
      </c>
      <c r="D5" s="8">
        <v>1</v>
      </c>
      <c r="E5" s="7">
        <v>1</v>
      </c>
      <c r="F5" s="7">
        <v>1</v>
      </c>
      <c r="G5" s="59"/>
      <c r="H5" s="59"/>
      <c r="I5" s="30">
        <f t="shared" ref="I5:I41" si="0">J5*0.7+G5*20+H5*10</f>
        <v>50.4</v>
      </c>
      <c r="J5" s="33">
        <f t="shared" ref="J5:J41" si="1">IF(K5&gt;=100,100,K5)</f>
        <v>72</v>
      </c>
      <c r="K5" s="33">
        <f t="shared" ref="K5:K40" si="2">R5*10+X5*10+AD5*15+AJ5*15+AP5*15+AV5*15+BB5*20+BH5*20+L5</f>
        <v>72</v>
      </c>
      <c r="L5" s="57"/>
      <c r="M5" s="45">
        <v>1</v>
      </c>
      <c r="N5" s="7">
        <v>1</v>
      </c>
      <c r="O5" s="7">
        <v>1</v>
      </c>
      <c r="P5" s="7">
        <v>1</v>
      </c>
      <c r="Q5" s="7">
        <v>1</v>
      </c>
      <c r="R5" s="48">
        <f t="shared" ref="R5:R40" si="3">AVERAGE(M5:Q5)</f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48">
        <f t="shared" ref="X5:X40" si="4">AVERAGE(S5:W5)</f>
        <v>1</v>
      </c>
      <c r="Y5" s="45">
        <v>1</v>
      </c>
      <c r="Z5" s="7">
        <v>1</v>
      </c>
      <c r="AA5" s="7">
        <v>1</v>
      </c>
      <c r="AB5" s="7">
        <v>1</v>
      </c>
      <c r="AC5" s="7">
        <v>1</v>
      </c>
      <c r="AD5" s="48">
        <f t="shared" ref="AD5:AD40" si="5">AVERAGE(Y5:AC5)</f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48">
        <f t="shared" ref="AJ5:AJ40" si="6">AVERAGE(AE5:AI5)</f>
        <v>1</v>
      </c>
      <c r="AK5" s="35">
        <v>1</v>
      </c>
      <c r="AL5" s="7">
        <v>1</v>
      </c>
      <c r="AM5" s="7">
        <v>1</v>
      </c>
      <c r="AN5" s="7">
        <v>1</v>
      </c>
      <c r="AO5" s="7">
        <v>1</v>
      </c>
      <c r="AP5" s="48">
        <f t="shared" ref="AP5:AP40" si="7">AVERAGE(AK5:AO5)</f>
        <v>1</v>
      </c>
      <c r="AQ5" s="7">
        <v>0</v>
      </c>
      <c r="AR5" s="7">
        <v>1</v>
      </c>
      <c r="AS5" s="7">
        <v>0</v>
      </c>
      <c r="AT5" s="7">
        <v>0</v>
      </c>
      <c r="AU5" s="7">
        <v>0</v>
      </c>
      <c r="AV5" s="48">
        <f t="shared" ref="AV5:AV40" si="8">AVERAGE(AQ5:AU5)</f>
        <v>0.2</v>
      </c>
      <c r="AW5" s="7">
        <v>0</v>
      </c>
      <c r="AX5" s="7">
        <v>1</v>
      </c>
      <c r="AY5" s="7">
        <v>0</v>
      </c>
      <c r="AZ5" s="7">
        <v>0</v>
      </c>
      <c r="BA5" s="7">
        <v>0</v>
      </c>
      <c r="BB5" s="48">
        <f t="shared" ref="BB5:BB40" si="9">AVERAGE(AW5:BA5)</f>
        <v>0.2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48">
        <f t="shared" ref="BH5:BH40" si="10">AVERAGE(BC5:BG5)</f>
        <v>0</v>
      </c>
      <c r="BI5" s="68"/>
      <c r="BJ5" s="7"/>
      <c r="BK5" s="7"/>
      <c r="BL5" s="7"/>
      <c r="BM5" s="7"/>
      <c r="BN5" s="7"/>
      <c r="BO5" s="48">
        <f t="shared" ref="BO5:BO40" si="11">SUM(BJ5:BN5)/5</f>
        <v>0</v>
      </c>
      <c r="BP5" s="7"/>
      <c r="BQ5" s="7"/>
      <c r="BR5" s="7"/>
      <c r="BS5" s="7"/>
      <c r="BT5" s="7"/>
      <c r="BU5" s="48">
        <f t="shared" ref="BU5:BU40" si="12">SUM(BP5:BT5)/5</f>
        <v>0</v>
      </c>
      <c r="BV5" s="7"/>
      <c r="BW5" s="7"/>
      <c r="BX5" s="7"/>
      <c r="BY5" s="7"/>
      <c r="BZ5" s="7"/>
      <c r="CA5" s="48">
        <f t="shared" ref="CA5:CA40" si="13">SUM(BV5:BZ5)/5</f>
        <v>0</v>
      </c>
      <c r="CB5" s="7"/>
      <c r="CC5" s="7"/>
      <c r="CD5" s="7"/>
      <c r="CE5" s="7"/>
      <c r="CF5" s="7"/>
      <c r="CG5" s="48">
        <f t="shared" ref="CG5:CG40" si="14">SUM(CB5:CF5)/5</f>
        <v>0</v>
      </c>
    </row>
    <row r="6" spans="1:85" ht="16" x14ac:dyDescent="0.2">
      <c r="A6" s="5" t="s">
        <v>296</v>
      </c>
      <c r="B6" s="5">
        <v>1</v>
      </c>
      <c r="C6" s="13" t="s">
        <v>295</v>
      </c>
      <c r="D6" s="6">
        <v>1</v>
      </c>
      <c r="E6" s="5">
        <v>1</v>
      </c>
      <c r="F6" s="5">
        <v>1</v>
      </c>
      <c r="G6" s="59"/>
      <c r="H6" s="59"/>
      <c r="I6" s="30">
        <f>J6*0.7+G6*20+H6*10</f>
        <v>70</v>
      </c>
      <c r="J6" s="33">
        <f t="shared" si="1"/>
        <v>100</v>
      </c>
      <c r="K6" s="33">
        <f t="shared" si="2"/>
        <v>110</v>
      </c>
      <c r="L6" s="57"/>
      <c r="M6" s="44">
        <v>1</v>
      </c>
      <c r="N6" s="5">
        <v>1</v>
      </c>
      <c r="O6" s="5">
        <v>1</v>
      </c>
      <c r="P6" s="5">
        <v>1</v>
      </c>
      <c r="Q6" s="5">
        <v>1</v>
      </c>
      <c r="R6" s="48">
        <f t="shared" si="3"/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48">
        <f t="shared" si="4"/>
        <v>1</v>
      </c>
      <c r="Y6" s="44">
        <v>1</v>
      </c>
      <c r="Z6" s="5">
        <v>1</v>
      </c>
      <c r="AA6" s="5">
        <v>1</v>
      </c>
      <c r="AB6" s="5">
        <v>1</v>
      </c>
      <c r="AC6" s="5">
        <v>1</v>
      </c>
      <c r="AD6" s="48">
        <f t="shared" si="5"/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48">
        <f t="shared" si="6"/>
        <v>1</v>
      </c>
      <c r="AK6" s="34">
        <v>1</v>
      </c>
      <c r="AL6" s="5">
        <v>1</v>
      </c>
      <c r="AM6" s="5">
        <v>1</v>
      </c>
      <c r="AN6" s="5">
        <v>1</v>
      </c>
      <c r="AO6" s="5">
        <v>1</v>
      </c>
      <c r="AP6" s="48">
        <f t="shared" si="7"/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48">
        <f t="shared" si="8"/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48">
        <f t="shared" si="9"/>
        <v>1</v>
      </c>
      <c r="BC6" s="5">
        <v>1</v>
      </c>
      <c r="BD6" s="5">
        <v>1</v>
      </c>
      <c r="BE6" s="5">
        <v>0.5</v>
      </c>
      <c r="BF6" s="5">
        <v>0</v>
      </c>
      <c r="BG6" s="5">
        <v>0</v>
      </c>
      <c r="BH6" s="48">
        <f t="shared" si="10"/>
        <v>0.5</v>
      </c>
      <c r="BI6" s="68"/>
      <c r="BJ6" s="5"/>
      <c r="BK6" s="5"/>
      <c r="BL6" s="5"/>
      <c r="BM6" s="5"/>
      <c r="BN6" s="5"/>
      <c r="BO6" s="48">
        <f t="shared" si="11"/>
        <v>0</v>
      </c>
      <c r="BP6" s="5"/>
      <c r="BQ6" s="5"/>
      <c r="BR6" s="5"/>
      <c r="BS6" s="5"/>
      <c r="BT6" s="5"/>
      <c r="BU6" s="48">
        <f t="shared" si="12"/>
        <v>0</v>
      </c>
      <c r="BV6" s="5"/>
      <c r="BW6" s="5"/>
      <c r="BX6" s="5"/>
      <c r="BY6" s="5"/>
      <c r="BZ6" s="5"/>
      <c r="CA6" s="48">
        <f t="shared" si="13"/>
        <v>0</v>
      </c>
      <c r="CB6" s="5"/>
      <c r="CC6" s="5"/>
      <c r="CD6" s="5"/>
      <c r="CE6" s="5"/>
      <c r="CF6" s="5"/>
      <c r="CG6" s="48">
        <f t="shared" si="14"/>
        <v>0</v>
      </c>
    </row>
    <row r="7" spans="1:85" ht="16" x14ac:dyDescent="0.2">
      <c r="A7" s="7" t="s">
        <v>294</v>
      </c>
      <c r="B7" s="7">
        <v>1</v>
      </c>
      <c r="C7" s="14" t="s">
        <v>293</v>
      </c>
      <c r="D7" s="8">
        <v>1</v>
      </c>
      <c r="E7" s="7"/>
      <c r="F7" s="7">
        <v>1</v>
      </c>
      <c r="G7" s="59"/>
      <c r="H7" s="59"/>
      <c r="I7" s="30">
        <f t="shared" si="0"/>
        <v>35.769999999999996</v>
      </c>
      <c r="J7" s="33">
        <f t="shared" si="1"/>
        <v>51.1</v>
      </c>
      <c r="K7" s="33">
        <f t="shared" si="2"/>
        <v>51.1</v>
      </c>
      <c r="L7" s="57"/>
      <c r="M7" s="45">
        <v>0.8</v>
      </c>
      <c r="N7" s="7">
        <v>0.5</v>
      </c>
      <c r="O7" s="7">
        <v>0.8</v>
      </c>
      <c r="P7" s="7">
        <v>0.8</v>
      </c>
      <c r="Q7" s="7">
        <v>0.8</v>
      </c>
      <c r="R7" s="48">
        <f t="shared" si="3"/>
        <v>0.74</v>
      </c>
      <c r="S7" s="7">
        <v>0.8</v>
      </c>
      <c r="T7" s="7">
        <v>0.5</v>
      </c>
      <c r="U7" s="7">
        <v>0.8</v>
      </c>
      <c r="V7" s="7">
        <v>0.8</v>
      </c>
      <c r="W7" s="7">
        <v>0.8</v>
      </c>
      <c r="X7" s="48">
        <f t="shared" si="4"/>
        <v>0.74</v>
      </c>
      <c r="Y7" s="45">
        <v>0.8</v>
      </c>
      <c r="Z7" s="7">
        <v>0.5</v>
      </c>
      <c r="AA7" s="7">
        <v>0.8</v>
      </c>
      <c r="AB7" s="7">
        <v>0.8</v>
      </c>
      <c r="AC7" s="7">
        <v>0.8</v>
      </c>
      <c r="AD7" s="48">
        <f t="shared" si="5"/>
        <v>0.74</v>
      </c>
      <c r="AE7" s="45">
        <v>0.8</v>
      </c>
      <c r="AF7" s="7">
        <v>0.5</v>
      </c>
      <c r="AG7" s="7">
        <v>0.8</v>
      </c>
      <c r="AH7" s="7">
        <v>0.8</v>
      </c>
      <c r="AI7" s="7">
        <v>0.8</v>
      </c>
      <c r="AJ7" s="48">
        <f t="shared" si="6"/>
        <v>0.74</v>
      </c>
      <c r="AK7" s="35">
        <v>0</v>
      </c>
      <c r="AL7" s="7">
        <v>0</v>
      </c>
      <c r="AM7" s="7">
        <v>0</v>
      </c>
      <c r="AN7" s="7">
        <v>0</v>
      </c>
      <c r="AO7" s="7">
        <v>0</v>
      </c>
      <c r="AP7" s="48">
        <f t="shared" si="7"/>
        <v>0</v>
      </c>
      <c r="AQ7" s="7">
        <v>0.8</v>
      </c>
      <c r="AR7" s="7">
        <v>0.5</v>
      </c>
      <c r="AS7" s="7">
        <v>0.8</v>
      </c>
      <c r="AT7" s="7">
        <v>0.8</v>
      </c>
      <c r="AU7" s="7">
        <v>0.8</v>
      </c>
      <c r="AV7" s="48">
        <f t="shared" si="8"/>
        <v>0.74</v>
      </c>
      <c r="AW7" s="7">
        <v>0.25</v>
      </c>
      <c r="AX7" s="7">
        <v>0.25</v>
      </c>
      <c r="AY7" s="7">
        <v>0</v>
      </c>
      <c r="AZ7" s="7">
        <v>0</v>
      </c>
      <c r="BA7" s="7">
        <v>0</v>
      </c>
      <c r="BB7" s="48">
        <f t="shared" si="9"/>
        <v>0.1</v>
      </c>
      <c r="BC7" s="7">
        <v>0.25</v>
      </c>
      <c r="BD7" s="7">
        <v>0</v>
      </c>
      <c r="BE7" s="7">
        <v>0</v>
      </c>
      <c r="BF7" s="7">
        <v>0</v>
      </c>
      <c r="BG7" s="7">
        <v>0</v>
      </c>
      <c r="BH7" s="48">
        <f t="shared" si="10"/>
        <v>0.05</v>
      </c>
      <c r="BI7" s="68"/>
      <c r="BJ7" s="7"/>
      <c r="BK7" s="7"/>
      <c r="BL7" s="7"/>
      <c r="BM7" s="7"/>
      <c r="BN7" s="7"/>
      <c r="BO7" s="48">
        <f t="shared" si="11"/>
        <v>0</v>
      </c>
      <c r="BP7" s="7"/>
      <c r="BQ7" s="7"/>
      <c r="BR7" s="7"/>
      <c r="BS7" s="7"/>
      <c r="BT7" s="7"/>
      <c r="BU7" s="48">
        <f t="shared" si="12"/>
        <v>0</v>
      </c>
      <c r="BV7" s="7"/>
      <c r="BW7" s="7"/>
      <c r="BX7" s="7"/>
      <c r="BY7" s="7"/>
      <c r="BZ7" s="7"/>
      <c r="CA7" s="48">
        <f t="shared" si="13"/>
        <v>0</v>
      </c>
      <c r="CB7" s="7"/>
      <c r="CC7" s="7"/>
      <c r="CD7" s="7"/>
      <c r="CE7" s="7"/>
      <c r="CF7" s="7"/>
      <c r="CG7" s="48">
        <f t="shared" si="14"/>
        <v>0</v>
      </c>
    </row>
    <row r="8" spans="1:85" ht="16" x14ac:dyDescent="0.2">
      <c r="A8" s="5" t="s">
        <v>292</v>
      </c>
      <c r="B8" s="5">
        <v>1</v>
      </c>
      <c r="C8" s="13" t="s">
        <v>291</v>
      </c>
      <c r="D8" s="6">
        <v>1</v>
      </c>
      <c r="E8" s="5"/>
      <c r="F8" s="5">
        <v>1</v>
      </c>
      <c r="G8" s="59"/>
      <c r="H8" s="59"/>
      <c r="I8" s="30">
        <f t="shared" si="0"/>
        <v>0</v>
      </c>
      <c r="J8" s="33">
        <f t="shared" si="1"/>
        <v>0</v>
      </c>
      <c r="K8" s="33">
        <f t="shared" si="2"/>
        <v>0</v>
      </c>
      <c r="L8" s="57"/>
      <c r="M8" s="44">
        <v>0</v>
      </c>
      <c r="N8" s="5">
        <v>0</v>
      </c>
      <c r="O8" s="5">
        <v>0</v>
      </c>
      <c r="P8" s="5">
        <v>0</v>
      </c>
      <c r="Q8" s="5">
        <v>0</v>
      </c>
      <c r="R8" s="48">
        <f t="shared" si="3"/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48">
        <f t="shared" si="4"/>
        <v>0</v>
      </c>
      <c r="Y8" s="44">
        <v>0</v>
      </c>
      <c r="Z8" s="5">
        <v>0</v>
      </c>
      <c r="AA8" s="5">
        <v>0</v>
      </c>
      <c r="AB8" s="5">
        <v>0</v>
      </c>
      <c r="AC8" s="5">
        <v>0</v>
      </c>
      <c r="AD8" s="48">
        <f t="shared" si="5"/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48">
        <f t="shared" si="6"/>
        <v>0</v>
      </c>
      <c r="AK8" s="34">
        <v>0</v>
      </c>
      <c r="AL8" s="5">
        <v>0</v>
      </c>
      <c r="AM8" s="5">
        <v>0</v>
      </c>
      <c r="AN8" s="5">
        <v>0</v>
      </c>
      <c r="AO8" s="5">
        <v>0</v>
      </c>
      <c r="AP8" s="48">
        <f t="shared" si="7"/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8">
        <f t="shared" si="8"/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48">
        <f t="shared" si="9"/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48">
        <f t="shared" si="10"/>
        <v>0</v>
      </c>
      <c r="BI8" s="68"/>
      <c r="BJ8" s="5"/>
      <c r="BK8" s="5"/>
      <c r="BL8" s="5"/>
      <c r="BM8" s="5"/>
      <c r="BN8" s="5"/>
      <c r="BO8" s="48">
        <f t="shared" si="11"/>
        <v>0</v>
      </c>
      <c r="BP8" s="5"/>
      <c r="BQ8" s="5"/>
      <c r="BR8" s="5"/>
      <c r="BS8" s="5"/>
      <c r="BT8" s="5"/>
      <c r="BU8" s="48">
        <f t="shared" si="12"/>
        <v>0</v>
      </c>
      <c r="BV8" s="5"/>
      <c r="BW8" s="5"/>
      <c r="BX8" s="5"/>
      <c r="BY8" s="5"/>
      <c r="BZ8" s="5"/>
      <c r="CA8" s="48">
        <f t="shared" si="13"/>
        <v>0</v>
      </c>
      <c r="CB8" s="5"/>
      <c r="CC8" s="5"/>
      <c r="CD8" s="5"/>
      <c r="CE8" s="5"/>
      <c r="CF8" s="5"/>
      <c r="CG8" s="48">
        <f t="shared" si="14"/>
        <v>0</v>
      </c>
    </row>
    <row r="9" spans="1:85" s="103" customFormat="1" ht="16" x14ac:dyDescent="0.2">
      <c r="A9" s="94" t="s">
        <v>290</v>
      </c>
      <c r="B9" s="94">
        <v>1</v>
      </c>
      <c r="C9" s="95" t="s">
        <v>289</v>
      </c>
      <c r="D9" s="105"/>
      <c r="E9" s="94"/>
      <c r="F9" s="94"/>
      <c r="G9" s="94">
        <v>2</v>
      </c>
      <c r="H9" s="94">
        <v>1</v>
      </c>
      <c r="I9" s="96" t="e">
        <f t="shared" si="0"/>
        <v>#DIV/0!</v>
      </c>
      <c r="J9" s="97" t="e">
        <f t="shared" si="1"/>
        <v>#DIV/0!</v>
      </c>
      <c r="K9" s="97" t="e">
        <f t="shared" si="2"/>
        <v>#DIV/0!</v>
      </c>
      <c r="L9" s="98"/>
      <c r="M9" s="99"/>
      <c r="N9" s="94"/>
      <c r="O9" s="94"/>
      <c r="P9" s="94"/>
      <c r="Q9" s="94"/>
      <c r="R9" s="100" t="e">
        <f t="shared" si="3"/>
        <v>#DIV/0!</v>
      </c>
      <c r="S9" s="94"/>
      <c r="T9" s="94"/>
      <c r="U9" s="94"/>
      <c r="V9" s="94"/>
      <c r="W9" s="94"/>
      <c r="X9" s="100" t="e">
        <f t="shared" si="4"/>
        <v>#DIV/0!</v>
      </c>
      <c r="Y9" s="99"/>
      <c r="Z9" s="94"/>
      <c r="AA9" s="94"/>
      <c r="AB9" s="94"/>
      <c r="AC9" s="94"/>
      <c r="AD9" s="100" t="e">
        <f t="shared" si="5"/>
        <v>#DIV/0!</v>
      </c>
      <c r="AE9" s="94"/>
      <c r="AF9" s="94"/>
      <c r="AG9" s="94"/>
      <c r="AH9" s="94"/>
      <c r="AI9" s="94"/>
      <c r="AJ9" s="100" t="e">
        <f t="shared" si="6"/>
        <v>#DIV/0!</v>
      </c>
      <c r="AK9" s="101"/>
      <c r="AL9" s="94"/>
      <c r="AM9" s="94"/>
      <c r="AN9" s="94"/>
      <c r="AO9" s="94"/>
      <c r="AP9" s="100" t="e">
        <f t="shared" si="7"/>
        <v>#DIV/0!</v>
      </c>
      <c r="AQ9" s="94"/>
      <c r="AR9" s="94"/>
      <c r="AS9" s="94"/>
      <c r="AT9" s="94"/>
      <c r="AU9" s="94"/>
      <c r="AV9" s="100" t="e">
        <f t="shared" si="8"/>
        <v>#DIV/0!</v>
      </c>
      <c r="AW9" s="94"/>
      <c r="AX9" s="94"/>
      <c r="AY9" s="94"/>
      <c r="AZ9" s="94"/>
      <c r="BA9" s="94"/>
      <c r="BB9" s="100" t="e">
        <f t="shared" si="9"/>
        <v>#DIV/0!</v>
      </c>
      <c r="BC9" s="94"/>
      <c r="BD9" s="94"/>
      <c r="BE9" s="94"/>
      <c r="BF9" s="94"/>
      <c r="BG9" s="94"/>
      <c r="BH9" s="100" t="e">
        <f t="shared" si="10"/>
        <v>#DIV/0!</v>
      </c>
      <c r="BI9" s="68"/>
      <c r="BJ9" s="94"/>
      <c r="BK9" s="94"/>
      <c r="BL9" s="94"/>
      <c r="BM9" s="94"/>
      <c r="BN9" s="94"/>
      <c r="BO9" s="100">
        <f t="shared" si="11"/>
        <v>0</v>
      </c>
      <c r="BP9" s="94"/>
      <c r="BQ9" s="94"/>
      <c r="BR9" s="94"/>
      <c r="BS9" s="94"/>
      <c r="BT9" s="94"/>
      <c r="BU9" s="100">
        <f t="shared" si="12"/>
        <v>0</v>
      </c>
      <c r="BV9" s="94"/>
      <c r="BW9" s="94"/>
      <c r="BX9" s="94"/>
      <c r="BY9" s="94"/>
      <c r="BZ9" s="94"/>
      <c r="CA9" s="100">
        <f t="shared" si="13"/>
        <v>0</v>
      </c>
      <c r="CB9" s="94"/>
      <c r="CC9" s="94"/>
      <c r="CD9" s="94"/>
      <c r="CE9" s="94"/>
      <c r="CF9" s="94"/>
      <c r="CG9" s="100">
        <f t="shared" si="14"/>
        <v>0</v>
      </c>
    </row>
    <row r="10" spans="1:85" s="103" customFormat="1" ht="16" x14ac:dyDescent="0.2">
      <c r="A10" s="94" t="s">
        <v>288</v>
      </c>
      <c r="B10" s="94">
        <v>1</v>
      </c>
      <c r="C10" s="95" t="s">
        <v>287</v>
      </c>
      <c r="D10" s="105"/>
      <c r="E10" s="94"/>
      <c r="F10" s="94"/>
      <c r="G10" s="94"/>
      <c r="H10" s="94"/>
      <c r="I10" s="96" t="e">
        <f t="shared" si="0"/>
        <v>#DIV/0!</v>
      </c>
      <c r="J10" s="97" t="e">
        <f t="shared" si="1"/>
        <v>#DIV/0!</v>
      </c>
      <c r="K10" s="97" t="e">
        <f t="shared" si="2"/>
        <v>#DIV/0!</v>
      </c>
      <c r="L10" s="98"/>
      <c r="M10" s="99"/>
      <c r="N10" s="94"/>
      <c r="O10" s="94"/>
      <c r="P10" s="94"/>
      <c r="Q10" s="94"/>
      <c r="R10" s="100" t="e">
        <f t="shared" si="3"/>
        <v>#DIV/0!</v>
      </c>
      <c r="S10" s="94"/>
      <c r="T10" s="94"/>
      <c r="U10" s="94"/>
      <c r="V10" s="94"/>
      <c r="W10" s="94"/>
      <c r="X10" s="100" t="e">
        <f t="shared" si="4"/>
        <v>#DIV/0!</v>
      </c>
      <c r="Y10" s="99"/>
      <c r="Z10" s="94"/>
      <c r="AA10" s="94"/>
      <c r="AB10" s="94"/>
      <c r="AC10" s="94"/>
      <c r="AD10" s="100" t="e">
        <f t="shared" si="5"/>
        <v>#DIV/0!</v>
      </c>
      <c r="AE10" s="94"/>
      <c r="AF10" s="94"/>
      <c r="AG10" s="94"/>
      <c r="AH10" s="94"/>
      <c r="AI10" s="94"/>
      <c r="AJ10" s="100" t="e">
        <f t="shared" si="6"/>
        <v>#DIV/0!</v>
      </c>
      <c r="AK10" s="101"/>
      <c r="AL10" s="94"/>
      <c r="AM10" s="94"/>
      <c r="AN10" s="94"/>
      <c r="AO10" s="94"/>
      <c r="AP10" s="100" t="e">
        <f t="shared" si="7"/>
        <v>#DIV/0!</v>
      </c>
      <c r="AQ10" s="94"/>
      <c r="AR10" s="94"/>
      <c r="AS10" s="94"/>
      <c r="AT10" s="94"/>
      <c r="AU10" s="94"/>
      <c r="AV10" s="100" t="e">
        <f t="shared" si="8"/>
        <v>#DIV/0!</v>
      </c>
      <c r="AW10" s="94"/>
      <c r="AX10" s="94"/>
      <c r="AY10" s="94"/>
      <c r="AZ10" s="94"/>
      <c r="BA10" s="94"/>
      <c r="BB10" s="100" t="e">
        <f t="shared" si="9"/>
        <v>#DIV/0!</v>
      </c>
      <c r="BC10" s="94"/>
      <c r="BD10" s="94"/>
      <c r="BE10" s="94"/>
      <c r="BF10" s="94"/>
      <c r="BG10" s="94"/>
      <c r="BH10" s="100" t="e">
        <f t="shared" si="10"/>
        <v>#DIV/0!</v>
      </c>
      <c r="BI10" s="68"/>
      <c r="BJ10" s="94"/>
      <c r="BK10" s="94"/>
      <c r="BL10" s="94"/>
      <c r="BM10" s="94"/>
      <c r="BN10" s="94"/>
      <c r="BO10" s="100">
        <f t="shared" si="11"/>
        <v>0</v>
      </c>
      <c r="BP10" s="94"/>
      <c r="BQ10" s="94"/>
      <c r="BR10" s="94"/>
      <c r="BS10" s="94"/>
      <c r="BT10" s="94"/>
      <c r="BU10" s="100">
        <f t="shared" si="12"/>
        <v>0</v>
      </c>
      <c r="BV10" s="94"/>
      <c r="BW10" s="94"/>
      <c r="BX10" s="94"/>
      <c r="BY10" s="94"/>
      <c r="BZ10" s="94"/>
      <c r="CA10" s="100">
        <f t="shared" si="13"/>
        <v>0</v>
      </c>
      <c r="CB10" s="94"/>
      <c r="CC10" s="94"/>
      <c r="CD10" s="94"/>
      <c r="CE10" s="94"/>
      <c r="CF10" s="94"/>
      <c r="CG10" s="100">
        <f t="shared" si="14"/>
        <v>0</v>
      </c>
    </row>
    <row r="11" spans="1:85" ht="16" x14ac:dyDescent="0.2">
      <c r="A11" s="7" t="s">
        <v>286</v>
      </c>
      <c r="B11" s="7">
        <v>1</v>
      </c>
      <c r="C11" s="14" t="s">
        <v>285</v>
      </c>
      <c r="D11" s="8">
        <v>1</v>
      </c>
      <c r="E11" s="7"/>
      <c r="F11" s="7">
        <v>1</v>
      </c>
      <c r="G11" s="59">
        <v>2</v>
      </c>
      <c r="H11" s="59">
        <v>1</v>
      </c>
      <c r="I11" s="30">
        <f t="shared" si="0"/>
        <v>120</v>
      </c>
      <c r="J11" s="33">
        <f t="shared" si="1"/>
        <v>100</v>
      </c>
      <c r="K11" s="33">
        <f t="shared" si="2"/>
        <v>116.25</v>
      </c>
      <c r="L11" s="57"/>
      <c r="M11" s="45">
        <v>1</v>
      </c>
      <c r="N11" s="7">
        <v>1</v>
      </c>
      <c r="O11" s="7">
        <v>1</v>
      </c>
      <c r="P11" s="7">
        <v>1</v>
      </c>
      <c r="Q11" s="7">
        <v>1</v>
      </c>
      <c r="R11" s="48">
        <f t="shared" si="3"/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48">
        <f t="shared" si="4"/>
        <v>1</v>
      </c>
      <c r="Y11" s="45">
        <v>1</v>
      </c>
      <c r="Z11" s="7">
        <v>1</v>
      </c>
      <c r="AA11" s="7">
        <v>1</v>
      </c>
      <c r="AB11" s="7">
        <v>1</v>
      </c>
      <c r="AC11" s="7">
        <v>1</v>
      </c>
      <c r="AD11" s="48">
        <f t="shared" si="5"/>
        <v>1</v>
      </c>
      <c r="AE11" s="7">
        <v>0.75</v>
      </c>
      <c r="AF11" s="7">
        <v>0.75</v>
      </c>
      <c r="AG11" s="7">
        <v>0.75</v>
      </c>
      <c r="AH11" s="7">
        <v>0.75</v>
      </c>
      <c r="AI11" s="7">
        <v>0.75</v>
      </c>
      <c r="AJ11" s="48">
        <f t="shared" si="6"/>
        <v>0.75</v>
      </c>
      <c r="AK11" s="35">
        <v>1</v>
      </c>
      <c r="AL11" s="7">
        <v>1</v>
      </c>
      <c r="AM11" s="7">
        <v>1</v>
      </c>
      <c r="AN11" s="7">
        <v>1</v>
      </c>
      <c r="AO11" s="7">
        <v>1</v>
      </c>
      <c r="AP11" s="48">
        <f t="shared" si="7"/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48">
        <f t="shared" si="8"/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48">
        <f t="shared" si="9"/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48">
        <f t="shared" si="10"/>
        <v>1</v>
      </c>
      <c r="BI11" s="68"/>
      <c r="BJ11" s="7"/>
      <c r="BK11" s="7"/>
      <c r="BL11" s="7"/>
      <c r="BM11" s="7"/>
      <c r="BN11" s="7"/>
      <c r="BO11" s="48">
        <f t="shared" si="11"/>
        <v>0</v>
      </c>
      <c r="BP11" s="7"/>
      <c r="BQ11" s="7"/>
      <c r="BR11" s="7"/>
      <c r="BS11" s="7"/>
      <c r="BT11" s="7"/>
      <c r="BU11" s="48">
        <f t="shared" si="12"/>
        <v>0</v>
      </c>
      <c r="BV11" s="7"/>
      <c r="BW11" s="7"/>
      <c r="BX11" s="7"/>
      <c r="BY11" s="7"/>
      <c r="BZ11" s="7"/>
      <c r="CA11" s="48">
        <f t="shared" si="13"/>
        <v>0</v>
      </c>
      <c r="CB11" s="7"/>
      <c r="CC11" s="7"/>
      <c r="CD11" s="7"/>
      <c r="CE11" s="7"/>
      <c r="CF11" s="7"/>
      <c r="CG11" s="48">
        <f t="shared" si="14"/>
        <v>0</v>
      </c>
    </row>
    <row r="12" spans="1:85" ht="16" x14ac:dyDescent="0.2">
      <c r="A12" s="5" t="s">
        <v>284</v>
      </c>
      <c r="B12" s="5">
        <v>1</v>
      </c>
      <c r="C12" s="13" t="s">
        <v>283</v>
      </c>
      <c r="D12" s="6">
        <v>1</v>
      </c>
      <c r="E12" s="5"/>
      <c r="F12" s="5">
        <v>1</v>
      </c>
      <c r="G12" s="59"/>
      <c r="H12" s="59"/>
      <c r="I12" s="30">
        <f t="shared" si="0"/>
        <v>70</v>
      </c>
      <c r="J12" s="33">
        <f t="shared" si="1"/>
        <v>100</v>
      </c>
      <c r="K12" s="33">
        <f t="shared" si="2"/>
        <v>102</v>
      </c>
      <c r="L12" s="57">
        <v>15</v>
      </c>
      <c r="M12" s="44">
        <v>1</v>
      </c>
      <c r="N12" s="5">
        <v>1</v>
      </c>
      <c r="O12" s="5">
        <v>1</v>
      </c>
      <c r="P12" s="5">
        <v>1</v>
      </c>
      <c r="Q12" s="5">
        <v>1</v>
      </c>
      <c r="R12" s="48">
        <f t="shared" si="3"/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48">
        <f t="shared" si="4"/>
        <v>1</v>
      </c>
      <c r="Y12" s="44">
        <v>1</v>
      </c>
      <c r="Z12" s="5">
        <v>1</v>
      </c>
      <c r="AA12" s="5">
        <v>1</v>
      </c>
      <c r="AB12" s="5">
        <v>1</v>
      </c>
      <c r="AC12" s="5">
        <v>1</v>
      </c>
      <c r="AD12" s="48">
        <f t="shared" si="5"/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48">
        <f t="shared" si="6"/>
        <v>1</v>
      </c>
      <c r="AK12" s="34">
        <v>1</v>
      </c>
      <c r="AL12" s="5">
        <v>1</v>
      </c>
      <c r="AM12" s="5">
        <v>1</v>
      </c>
      <c r="AN12" s="5">
        <v>0</v>
      </c>
      <c r="AO12" s="5">
        <v>0</v>
      </c>
      <c r="AP12" s="48">
        <f t="shared" si="7"/>
        <v>0.6</v>
      </c>
      <c r="AQ12" s="5">
        <v>1</v>
      </c>
      <c r="AR12" s="5">
        <v>1</v>
      </c>
      <c r="AS12" s="5">
        <v>1</v>
      </c>
      <c r="AT12" s="5">
        <v>1</v>
      </c>
      <c r="AU12" s="5">
        <v>0</v>
      </c>
      <c r="AV12" s="48">
        <f t="shared" si="8"/>
        <v>0.8</v>
      </c>
      <c r="AW12" s="5">
        <v>0.75</v>
      </c>
      <c r="AX12" s="5">
        <v>1</v>
      </c>
      <c r="AY12" s="5">
        <v>0.25</v>
      </c>
      <c r="AZ12" s="5">
        <v>0</v>
      </c>
      <c r="BA12" s="5">
        <v>0</v>
      </c>
      <c r="BB12" s="48">
        <f t="shared" si="9"/>
        <v>0.4</v>
      </c>
      <c r="BC12" s="5">
        <v>1</v>
      </c>
      <c r="BD12" s="5">
        <v>1</v>
      </c>
      <c r="BE12" s="5">
        <v>0</v>
      </c>
      <c r="BF12" s="5">
        <v>0</v>
      </c>
      <c r="BG12" s="5">
        <v>0</v>
      </c>
      <c r="BH12" s="48">
        <f t="shared" si="10"/>
        <v>0.4</v>
      </c>
      <c r="BI12" s="68"/>
      <c r="BJ12" s="5"/>
      <c r="BK12" s="5"/>
      <c r="BL12" s="5"/>
      <c r="BM12" s="5"/>
      <c r="BN12" s="5"/>
      <c r="BO12" s="48">
        <f t="shared" si="11"/>
        <v>0</v>
      </c>
      <c r="BP12" s="5"/>
      <c r="BQ12" s="5"/>
      <c r="BR12" s="5"/>
      <c r="BS12" s="5"/>
      <c r="BT12" s="5"/>
      <c r="BU12" s="48">
        <f t="shared" si="12"/>
        <v>0</v>
      </c>
      <c r="BV12" s="5"/>
      <c r="BW12" s="5"/>
      <c r="BX12" s="5"/>
      <c r="BY12" s="5"/>
      <c r="BZ12" s="5"/>
      <c r="CA12" s="48">
        <f t="shared" si="13"/>
        <v>0</v>
      </c>
      <c r="CB12" s="5"/>
      <c r="CC12" s="5"/>
      <c r="CD12" s="5"/>
      <c r="CE12" s="5"/>
      <c r="CF12" s="5"/>
      <c r="CG12" s="48">
        <f t="shared" si="14"/>
        <v>0</v>
      </c>
    </row>
    <row r="13" spans="1:85" ht="16" x14ac:dyDescent="0.2">
      <c r="A13" s="7" t="s">
        <v>282</v>
      </c>
      <c r="B13" s="7">
        <v>1</v>
      </c>
      <c r="C13" s="14" t="s">
        <v>281</v>
      </c>
      <c r="D13" s="8"/>
      <c r="E13" s="7">
        <v>1</v>
      </c>
      <c r="F13" s="7">
        <v>1</v>
      </c>
      <c r="G13" s="59"/>
      <c r="H13" s="59"/>
      <c r="I13" s="30">
        <f t="shared" si="0"/>
        <v>70</v>
      </c>
      <c r="J13" s="33">
        <f t="shared" si="1"/>
        <v>100</v>
      </c>
      <c r="K13" s="33">
        <f t="shared" si="2"/>
        <v>101</v>
      </c>
      <c r="L13" s="57"/>
      <c r="M13" s="45">
        <v>1</v>
      </c>
      <c r="N13" s="7">
        <v>1</v>
      </c>
      <c r="O13" s="7">
        <v>1</v>
      </c>
      <c r="P13" s="7">
        <v>0</v>
      </c>
      <c r="Q13" s="7">
        <v>0</v>
      </c>
      <c r="R13" s="48">
        <f t="shared" si="3"/>
        <v>0.6</v>
      </c>
      <c r="S13" s="7">
        <v>1</v>
      </c>
      <c r="T13" s="7">
        <v>1</v>
      </c>
      <c r="U13" s="7">
        <v>1</v>
      </c>
      <c r="V13" s="7">
        <v>0</v>
      </c>
      <c r="W13" s="7">
        <v>0</v>
      </c>
      <c r="X13" s="48">
        <f t="shared" si="4"/>
        <v>0.6</v>
      </c>
      <c r="Y13" s="45">
        <v>1</v>
      </c>
      <c r="Z13" s="7">
        <v>1</v>
      </c>
      <c r="AA13" s="7">
        <v>1</v>
      </c>
      <c r="AB13" s="7">
        <v>0</v>
      </c>
      <c r="AC13" s="7">
        <v>1</v>
      </c>
      <c r="AD13" s="48">
        <f t="shared" si="5"/>
        <v>0.8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48">
        <f t="shared" si="6"/>
        <v>1</v>
      </c>
      <c r="AK13" s="35">
        <v>1</v>
      </c>
      <c r="AL13" s="7">
        <v>1</v>
      </c>
      <c r="AM13" s="7">
        <v>1</v>
      </c>
      <c r="AN13" s="7">
        <v>1</v>
      </c>
      <c r="AO13" s="7">
        <v>1</v>
      </c>
      <c r="AP13" s="48">
        <f t="shared" si="7"/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48">
        <f t="shared" si="8"/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48">
        <f t="shared" si="9"/>
        <v>1</v>
      </c>
      <c r="BC13" s="7">
        <v>1</v>
      </c>
      <c r="BD13" s="7">
        <v>0.5</v>
      </c>
      <c r="BE13" s="7">
        <v>0.5</v>
      </c>
      <c r="BF13" s="7">
        <v>0.5</v>
      </c>
      <c r="BG13" s="7">
        <v>0.5</v>
      </c>
      <c r="BH13" s="48">
        <f t="shared" si="10"/>
        <v>0.6</v>
      </c>
      <c r="BI13" s="68"/>
      <c r="BJ13" s="7"/>
      <c r="BK13" s="7"/>
      <c r="BL13" s="7"/>
      <c r="BM13" s="7"/>
      <c r="BN13" s="7"/>
      <c r="BO13" s="48">
        <f t="shared" si="11"/>
        <v>0</v>
      </c>
      <c r="BP13" s="7"/>
      <c r="BQ13" s="7"/>
      <c r="BR13" s="7"/>
      <c r="BS13" s="7"/>
      <c r="BT13" s="7"/>
      <c r="BU13" s="48">
        <f t="shared" si="12"/>
        <v>0</v>
      </c>
      <c r="BV13" s="7"/>
      <c r="BW13" s="7"/>
      <c r="BX13" s="7"/>
      <c r="BY13" s="7"/>
      <c r="BZ13" s="7"/>
      <c r="CA13" s="48">
        <f t="shared" si="13"/>
        <v>0</v>
      </c>
      <c r="CB13" s="7"/>
      <c r="CC13" s="7"/>
      <c r="CD13" s="7"/>
      <c r="CE13" s="7"/>
      <c r="CF13" s="7"/>
      <c r="CG13" s="48">
        <f t="shared" si="14"/>
        <v>0</v>
      </c>
    </row>
    <row r="14" spans="1:85" ht="16" x14ac:dyDescent="0.2">
      <c r="A14" s="5" t="s">
        <v>280</v>
      </c>
      <c r="B14" s="5">
        <v>1</v>
      </c>
      <c r="C14" s="53" t="s">
        <v>279</v>
      </c>
      <c r="D14" s="6">
        <v>1</v>
      </c>
      <c r="E14" s="5"/>
      <c r="F14" s="5">
        <v>1</v>
      </c>
      <c r="G14" s="59"/>
      <c r="H14" s="59"/>
      <c r="I14" s="30">
        <f t="shared" si="0"/>
        <v>66.36</v>
      </c>
      <c r="J14" s="33">
        <f t="shared" si="1"/>
        <v>94.8</v>
      </c>
      <c r="K14" s="33">
        <f t="shared" si="2"/>
        <v>94.8</v>
      </c>
      <c r="L14" s="57"/>
      <c r="M14" s="44">
        <v>1</v>
      </c>
      <c r="N14" s="5">
        <v>1</v>
      </c>
      <c r="O14" s="5">
        <v>1</v>
      </c>
      <c r="P14" s="5">
        <v>1</v>
      </c>
      <c r="Q14" s="5">
        <v>1</v>
      </c>
      <c r="R14" s="48">
        <f t="shared" si="3"/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48">
        <f t="shared" si="4"/>
        <v>1</v>
      </c>
      <c r="Y14" s="44">
        <v>1</v>
      </c>
      <c r="Z14" s="5">
        <v>1</v>
      </c>
      <c r="AA14" s="5">
        <v>1</v>
      </c>
      <c r="AB14" s="5">
        <v>1</v>
      </c>
      <c r="AC14" s="5">
        <v>1</v>
      </c>
      <c r="AD14" s="48">
        <f t="shared" si="5"/>
        <v>1</v>
      </c>
      <c r="AE14" s="5">
        <v>1</v>
      </c>
      <c r="AF14" s="5">
        <v>0.8</v>
      </c>
      <c r="AG14" s="5">
        <v>0.8</v>
      </c>
      <c r="AH14" s="5">
        <v>0.8</v>
      </c>
      <c r="AI14" s="5">
        <v>0.8</v>
      </c>
      <c r="AJ14" s="48">
        <f t="shared" si="6"/>
        <v>0.84000000000000008</v>
      </c>
      <c r="AK14" s="34">
        <v>1</v>
      </c>
      <c r="AL14" s="5">
        <v>1</v>
      </c>
      <c r="AM14" s="5">
        <v>1</v>
      </c>
      <c r="AN14" s="5">
        <v>1</v>
      </c>
      <c r="AO14" s="5">
        <v>1</v>
      </c>
      <c r="AP14" s="48">
        <f t="shared" si="7"/>
        <v>1</v>
      </c>
      <c r="AQ14" s="5">
        <v>1</v>
      </c>
      <c r="AR14" s="5">
        <v>0.8</v>
      </c>
      <c r="AS14" s="5">
        <v>0.8</v>
      </c>
      <c r="AT14" s="5">
        <v>0.8</v>
      </c>
      <c r="AU14" s="5">
        <v>0.8</v>
      </c>
      <c r="AV14" s="48">
        <f t="shared" si="8"/>
        <v>0.84000000000000008</v>
      </c>
      <c r="AW14" s="5">
        <v>0.5</v>
      </c>
      <c r="AX14" s="5">
        <v>0.5</v>
      </c>
      <c r="AY14" s="5">
        <v>0.5</v>
      </c>
      <c r="AZ14" s="5">
        <v>0.5</v>
      </c>
      <c r="BA14" s="5">
        <v>0.5</v>
      </c>
      <c r="BB14" s="48">
        <f t="shared" si="9"/>
        <v>0.5</v>
      </c>
      <c r="BC14" s="5">
        <v>0.4</v>
      </c>
      <c r="BD14" s="5">
        <v>0.5</v>
      </c>
      <c r="BE14" s="5">
        <v>0.5</v>
      </c>
      <c r="BF14" s="5">
        <v>0.5</v>
      </c>
      <c r="BG14" s="5">
        <v>0.5</v>
      </c>
      <c r="BH14" s="48">
        <f t="shared" si="10"/>
        <v>0.48</v>
      </c>
      <c r="BI14" s="68"/>
      <c r="BJ14" s="5"/>
      <c r="BK14" s="5"/>
      <c r="BL14" s="5"/>
      <c r="BM14" s="5"/>
      <c r="BN14" s="5"/>
      <c r="BO14" s="48">
        <f t="shared" si="11"/>
        <v>0</v>
      </c>
      <c r="BP14" s="5"/>
      <c r="BQ14" s="5"/>
      <c r="BR14" s="5"/>
      <c r="BS14" s="5"/>
      <c r="BT14" s="5"/>
      <c r="BU14" s="48">
        <f t="shared" si="12"/>
        <v>0</v>
      </c>
      <c r="BV14" s="5"/>
      <c r="BW14" s="5"/>
      <c r="BX14" s="5"/>
      <c r="BY14" s="5"/>
      <c r="BZ14" s="5"/>
      <c r="CA14" s="48">
        <f t="shared" si="13"/>
        <v>0</v>
      </c>
      <c r="CB14" s="5"/>
      <c r="CC14" s="5"/>
      <c r="CD14" s="5"/>
      <c r="CE14" s="5"/>
      <c r="CF14" s="5"/>
      <c r="CG14" s="48">
        <f t="shared" si="14"/>
        <v>0</v>
      </c>
    </row>
    <row r="15" spans="1:85" ht="16" x14ac:dyDescent="0.2">
      <c r="A15" s="7" t="s">
        <v>278</v>
      </c>
      <c r="B15" s="7">
        <v>1</v>
      </c>
      <c r="C15" s="14" t="s">
        <v>277</v>
      </c>
      <c r="D15" s="8"/>
      <c r="E15" s="7"/>
      <c r="F15" s="7"/>
      <c r="G15" s="59"/>
      <c r="H15" s="59"/>
      <c r="I15" s="30">
        <f t="shared" si="0"/>
        <v>14</v>
      </c>
      <c r="J15" s="33">
        <f t="shared" si="1"/>
        <v>20</v>
      </c>
      <c r="K15" s="33">
        <f t="shared" si="2"/>
        <v>20</v>
      </c>
      <c r="L15" s="57"/>
      <c r="M15" s="45">
        <v>1</v>
      </c>
      <c r="N15" s="7">
        <v>1</v>
      </c>
      <c r="O15" s="7">
        <v>1</v>
      </c>
      <c r="P15" s="7">
        <v>1</v>
      </c>
      <c r="Q15" s="7">
        <v>1</v>
      </c>
      <c r="R15" s="48">
        <f t="shared" si="3"/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48">
        <f t="shared" si="4"/>
        <v>1</v>
      </c>
      <c r="Y15" s="45">
        <v>0</v>
      </c>
      <c r="Z15" s="7">
        <v>0</v>
      </c>
      <c r="AA15" s="7">
        <v>0</v>
      </c>
      <c r="AB15" s="7">
        <v>0</v>
      </c>
      <c r="AC15" s="7">
        <v>0</v>
      </c>
      <c r="AD15" s="48">
        <f t="shared" si="5"/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48">
        <f t="shared" si="6"/>
        <v>0</v>
      </c>
      <c r="AK15" s="35">
        <v>0</v>
      </c>
      <c r="AL15" s="7">
        <v>0</v>
      </c>
      <c r="AM15" s="7">
        <v>0</v>
      </c>
      <c r="AN15" s="7">
        <v>0</v>
      </c>
      <c r="AO15" s="7">
        <v>0</v>
      </c>
      <c r="AP15" s="48">
        <f t="shared" si="7"/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48">
        <f t="shared" si="8"/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48">
        <f t="shared" si="9"/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48">
        <f t="shared" si="10"/>
        <v>0</v>
      </c>
      <c r="BI15" s="68"/>
      <c r="BJ15" s="7"/>
      <c r="BK15" s="7"/>
      <c r="BL15" s="7"/>
      <c r="BM15" s="7"/>
      <c r="BN15" s="7"/>
      <c r="BO15" s="48">
        <f t="shared" si="11"/>
        <v>0</v>
      </c>
      <c r="BP15" s="7"/>
      <c r="BQ15" s="7"/>
      <c r="BR15" s="7"/>
      <c r="BS15" s="7"/>
      <c r="BT15" s="7"/>
      <c r="BU15" s="48">
        <f t="shared" si="12"/>
        <v>0</v>
      </c>
      <c r="BV15" s="7"/>
      <c r="BW15" s="7"/>
      <c r="BX15" s="7"/>
      <c r="BY15" s="7"/>
      <c r="BZ15" s="7"/>
      <c r="CA15" s="48">
        <f t="shared" si="13"/>
        <v>0</v>
      </c>
      <c r="CB15" s="7"/>
      <c r="CC15" s="7"/>
      <c r="CD15" s="7"/>
      <c r="CE15" s="7"/>
      <c r="CF15" s="7"/>
      <c r="CG15" s="48">
        <f t="shared" si="14"/>
        <v>0</v>
      </c>
    </row>
    <row r="16" spans="1:85" ht="16" x14ac:dyDescent="0.2">
      <c r="A16" s="5" t="s">
        <v>276</v>
      </c>
      <c r="B16" s="5">
        <v>1</v>
      </c>
      <c r="C16" s="13" t="s">
        <v>275</v>
      </c>
      <c r="D16" s="6"/>
      <c r="E16" s="5">
        <v>1</v>
      </c>
      <c r="F16" s="5">
        <v>1</v>
      </c>
      <c r="G16" s="59"/>
      <c r="H16" s="59"/>
      <c r="I16" s="30">
        <f t="shared" si="0"/>
        <v>16.45</v>
      </c>
      <c r="J16" s="33">
        <f t="shared" si="1"/>
        <v>23.5</v>
      </c>
      <c r="K16" s="33">
        <f t="shared" si="2"/>
        <v>23.5</v>
      </c>
      <c r="L16" s="57"/>
      <c r="M16" s="44">
        <v>1</v>
      </c>
      <c r="N16" s="5">
        <v>1</v>
      </c>
      <c r="O16" s="5">
        <v>1</v>
      </c>
      <c r="P16" s="5">
        <v>1</v>
      </c>
      <c r="Q16" s="5">
        <v>1</v>
      </c>
      <c r="R16" s="48">
        <f t="shared" si="3"/>
        <v>1</v>
      </c>
      <c r="S16" s="5">
        <v>0.25</v>
      </c>
      <c r="T16" s="5">
        <v>0.5</v>
      </c>
      <c r="U16" s="5">
        <v>0</v>
      </c>
      <c r="V16" s="5">
        <v>0</v>
      </c>
      <c r="W16" s="5">
        <v>0</v>
      </c>
      <c r="X16" s="48">
        <f t="shared" si="4"/>
        <v>0.15</v>
      </c>
      <c r="Y16" s="44">
        <v>0</v>
      </c>
      <c r="Z16" s="5">
        <v>0</v>
      </c>
      <c r="AA16" s="5">
        <v>0</v>
      </c>
      <c r="AB16" s="5">
        <v>0</v>
      </c>
      <c r="AC16" s="5">
        <v>0</v>
      </c>
      <c r="AD16" s="48">
        <f t="shared" si="5"/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48">
        <f t="shared" si="6"/>
        <v>0</v>
      </c>
      <c r="AK16" s="34">
        <v>1</v>
      </c>
      <c r="AL16" s="5">
        <v>1</v>
      </c>
      <c r="AM16" s="5">
        <v>1</v>
      </c>
      <c r="AN16" s="5">
        <v>0</v>
      </c>
      <c r="AO16" s="5">
        <v>0</v>
      </c>
      <c r="AP16" s="48">
        <f t="shared" si="7"/>
        <v>0.6</v>
      </c>
      <c r="AQ16" s="5">
        <v>0</v>
      </c>
      <c r="AR16" s="5">
        <v>1</v>
      </c>
      <c r="AS16" s="5">
        <v>0</v>
      </c>
      <c r="AT16" s="5">
        <v>0</v>
      </c>
      <c r="AU16" s="5">
        <v>0</v>
      </c>
      <c r="AV16" s="48">
        <f t="shared" si="8"/>
        <v>0.2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48">
        <f t="shared" si="9"/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48">
        <f t="shared" si="10"/>
        <v>0</v>
      </c>
      <c r="BI16" s="68"/>
      <c r="BJ16" s="5"/>
      <c r="BK16" s="5"/>
      <c r="BL16" s="5"/>
      <c r="BM16" s="5"/>
      <c r="BN16" s="5"/>
      <c r="BO16" s="48">
        <f t="shared" si="11"/>
        <v>0</v>
      </c>
      <c r="BP16" s="5"/>
      <c r="BQ16" s="5"/>
      <c r="BR16" s="5"/>
      <c r="BS16" s="5"/>
      <c r="BT16" s="5"/>
      <c r="BU16" s="48">
        <f t="shared" si="12"/>
        <v>0</v>
      </c>
      <c r="BV16" s="5"/>
      <c r="BW16" s="5"/>
      <c r="BX16" s="5"/>
      <c r="BY16" s="5"/>
      <c r="BZ16" s="5"/>
      <c r="CA16" s="48">
        <f t="shared" si="13"/>
        <v>0</v>
      </c>
      <c r="CB16" s="5"/>
      <c r="CC16" s="5"/>
      <c r="CD16" s="5"/>
      <c r="CE16" s="5"/>
      <c r="CF16" s="5"/>
      <c r="CG16" s="48">
        <f t="shared" si="14"/>
        <v>0</v>
      </c>
    </row>
    <row r="17" spans="1:85" ht="16" x14ac:dyDescent="0.2">
      <c r="A17" s="7" t="s">
        <v>274</v>
      </c>
      <c r="B17" s="7">
        <v>1</v>
      </c>
      <c r="C17" s="14" t="s">
        <v>273</v>
      </c>
      <c r="D17" s="8">
        <v>1</v>
      </c>
      <c r="E17" s="7"/>
      <c r="F17" s="7">
        <v>1</v>
      </c>
      <c r="G17" s="59"/>
      <c r="H17" s="59"/>
      <c r="I17" s="30">
        <f t="shared" si="0"/>
        <v>33.074999999999996</v>
      </c>
      <c r="J17" s="33">
        <f t="shared" si="1"/>
        <v>47.25</v>
      </c>
      <c r="K17" s="33">
        <f t="shared" si="2"/>
        <v>47.25</v>
      </c>
      <c r="L17" s="57">
        <v>9.75</v>
      </c>
      <c r="M17" s="45">
        <v>0.5</v>
      </c>
      <c r="N17" s="7">
        <v>0.5</v>
      </c>
      <c r="O17" s="7">
        <v>0.5</v>
      </c>
      <c r="P17" s="7">
        <v>0.5</v>
      </c>
      <c r="Q17" s="7">
        <v>0.5</v>
      </c>
      <c r="R17" s="48">
        <f t="shared" si="3"/>
        <v>0.5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48">
        <f t="shared" si="4"/>
        <v>1</v>
      </c>
      <c r="Y17" s="45">
        <v>0</v>
      </c>
      <c r="Z17" s="7">
        <v>0</v>
      </c>
      <c r="AA17" s="7">
        <v>0</v>
      </c>
      <c r="AB17" s="7">
        <v>0</v>
      </c>
      <c r="AC17" s="7">
        <v>0</v>
      </c>
      <c r="AD17" s="48">
        <f t="shared" si="5"/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48">
        <f t="shared" si="6"/>
        <v>0</v>
      </c>
      <c r="AK17" s="35">
        <v>1</v>
      </c>
      <c r="AL17" s="7">
        <v>1</v>
      </c>
      <c r="AM17" s="7">
        <v>1</v>
      </c>
      <c r="AN17" s="7">
        <v>1</v>
      </c>
      <c r="AO17" s="7">
        <v>1</v>
      </c>
      <c r="AP17" s="48">
        <f t="shared" si="7"/>
        <v>1</v>
      </c>
      <c r="AQ17" s="7">
        <v>0.5</v>
      </c>
      <c r="AR17" s="7">
        <v>0.5</v>
      </c>
      <c r="AS17" s="7">
        <v>0.5</v>
      </c>
      <c r="AT17" s="7">
        <v>0.5</v>
      </c>
      <c r="AU17" s="7">
        <v>0.5</v>
      </c>
      <c r="AV17" s="48">
        <f t="shared" si="8"/>
        <v>0.5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48">
        <f t="shared" si="9"/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48">
        <f t="shared" si="10"/>
        <v>0</v>
      </c>
      <c r="BI17" s="68"/>
      <c r="BJ17" s="7">
        <v>0.75</v>
      </c>
      <c r="BK17" s="7">
        <v>1</v>
      </c>
      <c r="BL17" s="7">
        <v>0.5</v>
      </c>
      <c r="BM17" s="7">
        <v>0.5</v>
      </c>
      <c r="BN17" s="7">
        <v>0.5</v>
      </c>
      <c r="BO17" s="48">
        <f>SUM(BJ17:BN17)/5*15</f>
        <v>9.75</v>
      </c>
      <c r="BP17" s="7"/>
      <c r="BQ17" s="7"/>
      <c r="BR17" s="7"/>
      <c r="BS17" s="7"/>
      <c r="BT17" s="7"/>
      <c r="BU17" s="48">
        <f t="shared" si="12"/>
        <v>0</v>
      </c>
      <c r="BV17" s="7"/>
      <c r="BW17" s="7"/>
      <c r="BX17" s="7"/>
      <c r="BY17" s="7"/>
      <c r="BZ17" s="7"/>
      <c r="CA17" s="48">
        <f t="shared" si="13"/>
        <v>0</v>
      </c>
      <c r="CB17" s="7"/>
      <c r="CC17" s="7"/>
      <c r="CD17" s="7"/>
      <c r="CE17" s="7"/>
      <c r="CF17" s="7"/>
      <c r="CG17" s="48">
        <f t="shared" si="14"/>
        <v>0</v>
      </c>
    </row>
    <row r="18" spans="1:85" s="103" customFormat="1" ht="16" x14ac:dyDescent="0.2">
      <c r="A18" s="94" t="s">
        <v>272</v>
      </c>
      <c r="B18" s="94">
        <v>1</v>
      </c>
      <c r="C18" s="95" t="s">
        <v>271</v>
      </c>
      <c r="D18" s="105">
        <v>1</v>
      </c>
      <c r="E18" s="94"/>
      <c r="F18" s="94"/>
      <c r="G18" s="94"/>
      <c r="H18" s="94"/>
      <c r="I18" s="96" t="e">
        <f t="shared" si="0"/>
        <v>#DIV/0!</v>
      </c>
      <c r="J18" s="97" t="e">
        <f t="shared" si="1"/>
        <v>#DIV/0!</v>
      </c>
      <c r="K18" s="97" t="e">
        <f t="shared" si="2"/>
        <v>#DIV/0!</v>
      </c>
      <c r="L18" s="98"/>
      <c r="M18" s="99"/>
      <c r="N18" s="94"/>
      <c r="O18" s="94"/>
      <c r="P18" s="94"/>
      <c r="Q18" s="94"/>
      <c r="R18" s="100" t="e">
        <f t="shared" si="3"/>
        <v>#DIV/0!</v>
      </c>
      <c r="S18" s="94"/>
      <c r="T18" s="94"/>
      <c r="U18" s="94"/>
      <c r="V18" s="94"/>
      <c r="W18" s="94"/>
      <c r="X18" s="100" t="e">
        <f t="shared" si="4"/>
        <v>#DIV/0!</v>
      </c>
      <c r="Y18" s="99"/>
      <c r="Z18" s="94"/>
      <c r="AA18" s="94"/>
      <c r="AB18" s="94"/>
      <c r="AC18" s="94"/>
      <c r="AD18" s="100" t="e">
        <f t="shared" si="5"/>
        <v>#DIV/0!</v>
      </c>
      <c r="AE18" s="94"/>
      <c r="AF18" s="94"/>
      <c r="AG18" s="94"/>
      <c r="AH18" s="94"/>
      <c r="AI18" s="94"/>
      <c r="AJ18" s="100" t="e">
        <f t="shared" si="6"/>
        <v>#DIV/0!</v>
      </c>
      <c r="AK18" s="101"/>
      <c r="AL18" s="94"/>
      <c r="AM18" s="94"/>
      <c r="AN18" s="94"/>
      <c r="AO18" s="94"/>
      <c r="AP18" s="100" t="e">
        <f t="shared" si="7"/>
        <v>#DIV/0!</v>
      </c>
      <c r="AQ18" s="94"/>
      <c r="AR18" s="94"/>
      <c r="AS18" s="94"/>
      <c r="AT18" s="94"/>
      <c r="AU18" s="94"/>
      <c r="AV18" s="100" t="e">
        <f t="shared" si="8"/>
        <v>#DIV/0!</v>
      </c>
      <c r="AW18" s="94"/>
      <c r="AX18" s="94"/>
      <c r="AY18" s="94"/>
      <c r="AZ18" s="94"/>
      <c r="BA18" s="94"/>
      <c r="BB18" s="100" t="e">
        <f t="shared" si="9"/>
        <v>#DIV/0!</v>
      </c>
      <c r="BC18" s="94"/>
      <c r="BD18" s="94"/>
      <c r="BE18" s="94"/>
      <c r="BF18" s="94"/>
      <c r="BG18" s="94"/>
      <c r="BH18" s="100" t="e">
        <f t="shared" si="10"/>
        <v>#DIV/0!</v>
      </c>
      <c r="BI18" s="68"/>
      <c r="BJ18" s="94"/>
      <c r="BK18" s="94"/>
      <c r="BL18" s="94"/>
      <c r="BM18" s="94"/>
      <c r="BN18" s="94"/>
      <c r="BO18" s="100">
        <f t="shared" si="11"/>
        <v>0</v>
      </c>
      <c r="BP18" s="94"/>
      <c r="BQ18" s="94"/>
      <c r="BR18" s="94"/>
      <c r="BS18" s="94"/>
      <c r="BT18" s="94"/>
      <c r="BU18" s="100">
        <f t="shared" si="12"/>
        <v>0</v>
      </c>
      <c r="BV18" s="94"/>
      <c r="BW18" s="94"/>
      <c r="BX18" s="94"/>
      <c r="BY18" s="94"/>
      <c r="BZ18" s="94"/>
      <c r="CA18" s="100">
        <f t="shared" si="13"/>
        <v>0</v>
      </c>
      <c r="CB18" s="94"/>
      <c r="CC18" s="94"/>
      <c r="CD18" s="94"/>
      <c r="CE18" s="94"/>
      <c r="CF18" s="94"/>
      <c r="CG18" s="100">
        <f t="shared" si="14"/>
        <v>0</v>
      </c>
    </row>
    <row r="19" spans="1:85" ht="16" x14ac:dyDescent="0.2">
      <c r="A19" s="7" t="s">
        <v>270</v>
      </c>
      <c r="B19" s="7">
        <v>1</v>
      </c>
      <c r="C19" s="14" t="s">
        <v>269</v>
      </c>
      <c r="D19" s="8">
        <v>1</v>
      </c>
      <c r="E19" s="7"/>
      <c r="F19" s="7">
        <v>1</v>
      </c>
      <c r="G19" s="59"/>
      <c r="H19" s="59"/>
      <c r="I19" s="30">
        <f t="shared" si="0"/>
        <v>70</v>
      </c>
      <c r="J19" s="33">
        <f t="shared" si="1"/>
        <v>100</v>
      </c>
      <c r="K19" s="33">
        <f t="shared" si="2"/>
        <v>101.9</v>
      </c>
      <c r="L19" s="57">
        <v>24</v>
      </c>
      <c r="M19" s="45">
        <v>1</v>
      </c>
      <c r="N19" s="7">
        <v>1</v>
      </c>
      <c r="O19" s="7">
        <v>1</v>
      </c>
      <c r="P19" s="7">
        <v>1</v>
      </c>
      <c r="Q19" s="7">
        <v>1</v>
      </c>
      <c r="R19" s="48">
        <f t="shared" si="3"/>
        <v>1</v>
      </c>
      <c r="S19" s="7">
        <v>1</v>
      </c>
      <c r="T19" s="7">
        <v>0.75</v>
      </c>
      <c r="U19" s="7">
        <v>0.5</v>
      </c>
      <c r="V19" s="7">
        <v>0.5</v>
      </c>
      <c r="W19" s="7">
        <v>0.5</v>
      </c>
      <c r="X19" s="48">
        <f t="shared" si="4"/>
        <v>0.65</v>
      </c>
      <c r="Y19" s="45">
        <v>1</v>
      </c>
      <c r="Z19" s="7">
        <v>1</v>
      </c>
      <c r="AA19" s="7">
        <v>1</v>
      </c>
      <c r="AB19" s="7">
        <v>1</v>
      </c>
      <c r="AC19" s="7">
        <v>1</v>
      </c>
      <c r="AD19" s="48">
        <f t="shared" si="5"/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48">
        <f t="shared" si="6"/>
        <v>1</v>
      </c>
      <c r="AK19" s="35">
        <v>0.8</v>
      </c>
      <c r="AL19" s="7">
        <v>1</v>
      </c>
      <c r="AM19" s="7">
        <v>1</v>
      </c>
      <c r="AN19" s="7">
        <v>0</v>
      </c>
      <c r="AO19" s="7">
        <v>0</v>
      </c>
      <c r="AP19" s="48">
        <f t="shared" si="7"/>
        <v>0.55999999999999994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48">
        <f t="shared" si="8"/>
        <v>1</v>
      </c>
      <c r="AW19" s="7">
        <v>0.5</v>
      </c>
      <c r="AX19" s="7">
        <v>0.5</v>
      </c>
      <c r="AY19" s="7">
        <v>0</v>
      </c>
      <c r="AZ19" s="7">
        <v>0</v>
      </c>
      <c r="BA19" s="7">
        <v>0</v>
      </c>
      <c r="BB19" s="48">
        <f t="shared" si="9"/>
        <v>0.2</v>
      </c>
      <c r="BC19" s="7">
        <v>0.5</v>
      </c>
      <c r="BD19" s="7">
        <v>0.5</v>
      </c>
      <c r="BE19" s="7">
        <v>0</v>
      </c>
      <c r="BF19" s="7">
        <v>0</v>
      </c>
      <c r="BG19" s="7">
        <v>0</v>
      </c>
      <c r="BH19" s="48">
        <f t="shared" si="10"/>
        <v>0.2</v>
      </c>
      <c r="BI19" s="68"/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48">
        <f t="shared" si="11"/>
        <v>1</v>
      </c>
      <c r="BP19" s="7">
        <v>1</v>
      </c>
      <c r="BQ19" s="7">
        <v>1</v>
      </c>
      <c r="BR19" s="7">
        <v>1</v>
      </c>
      <c r="BS19" s="7">
        <v>0</v>
      </c>
      <c r="BT19" s="7">
        <v>0</v>
      </c>
      <c r="BU19" s="48">
        <f>SUM(BP19:BT19)/5*15</f>
        <v>9</v>
      </c>
      <c r="BV19" s="7"/>
      <c r="BW19" s="7"/>
      <c r="BX19" s="7"/>
      <c r="BY19" s="7"/>
      <c r="BZ19" s="7"/>
      <c r="CA19" s="48">
        <f t="shared" si="13"/>
        <v>0</v>
      </c>
      <c r="CB19" s="7"/>
      <c r="CC19" s="7"/>
      <c r="CD19" s="7"/>
      <c r="CE19" s="7"/>
      <c r="CF19" s="7"/>
      <c r="CG19" s="48">
        <f t="shared" si="14"/>
        <v>0</v>
      </c>
    </row>
    <row r="20" spans="1:85" ht="16" x14ac:dyDescent="0.2">
      <c r="A20" s="5" t="s">
        <v>268</v>
      </c>
      <c r="B20" s="5">
        <v>1</v>
      </c>
      <c r="C20" s="13" t="s">
        <v>267</v>
      </c>
      <c r="D20" s="6">
        <v>1</v>
      </c>
      <c r="E20" s="5"/>
      <c r="F20" s="5">
        <v>1</v>
      </c>
      <c r="G20" s="59"/>
      <c r="H20" s="59"/>
      <c r="I20" s="30">
        <f t="shared" si="0"/>
        <v>58.8</v>
      </c>
      <c r="J20" s="33">
        <f t="shared" si="1"/>
        <v>84</v>
      </c>
      <c r="K20" s="33">
        <f t="shared" si="2"/>
        <v>84</v>
      </c>
      <c r="L20" s="57"/>
      <c r="M20" s="44">
        <v>1</v>
      </c>
      <c r="N20" s="5">
        <v>1</v>
      </c>
      <c r="O20" s="5">
        <v>1</v>
      </c>
      <c r="P20" s="5">
        <v>1</v>
      </c>
      <c r="Q20" s="5">
        <v>1</v>
      </c>
      <c r="R20" s="48">
        <f t="shared" si="3"/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48">
        <f t="shared" si="4"/>
        <v>1</v>
      </c>
      <c r="Y20" s="44">
        <v>1</v>
      </c>
      <c r="Z20" s="5">
        <v>1</v>
      </c>
      <c r="AA20" s="5">
        <v>1</v>
      </c>
      <c r="AB20" s="5">
        <v>1</v>
      </c>
      <c r="AC20" s="5">
        <v>1</v>
      </c>
      <c r="AD20" s="48">
        <f t="shared" si="5"/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48">
        <f t="shared" si="6"/>
        <v>1</v>
      </c>
      <c r="AK20" s="34">
        <v>1</v>
      </c>
      <c r="AL20" s="5">
        <v>1</v>
      </c>
      <c r="AM20" s="5">
        <v>1</v>
      </c>
      <c r="AN20" s="5">
        <v>1</v>
      </c>
      <c r="AO20" s="5">
        <v>1</v>
      </c>
      <c r="AP20" s="48">
        <f t="shared" si="7"/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48">
        <f t="shared" si="8"/>
        <v>1</v>
      </c>
      <c r="AW20" s="5">
        <v>0.5</v>
      </c>
      <c r="AX20" s="5">
        <v>0.5</v>
      </c>
      <c r="AY20" s="5">
        <v>0</v>
      </c>
      <c r="AZ20" s="5">
        <v>0</v>
      </c>
      <c r="BA20" s="5">
        <v>0</v>
      </c>
      <c r="BB20" s="48">
        <f t="shared" si="9"/>
        <v>0.2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48">
        <f t="shared" si="10"/>
        <v>0</v>
      </c>
      <c r="BI20" s="68"/>
      <c r="BJ20" s="5"/>
      <c r="BK20" s="5"/>
      <c r="BL20" s="5"/>
      <c r="BM20" s="5"/>
      <c r="BN20" s="5"/>
      <c r="BO20" s="48">
        <f t="shared" si="11"/>
        <v>0</v>
      </c>
      <c r="BP20" s="5"/>
      <c r="BQ20" s="5"/>
      <c r="BR20" s="5"/>
      <c r="BS20" s="5"/>
      <c r="BT20" s="5"/>
      <c r="BU20" s="48">
        <f t="shared" si="12"/>
        <v>0</v>
      </c>
      <c r="BV20" s="5"/>
      <c r="BW20" s="5"/>
      <c r="BX20" s="5"/>
      <c r="BY20" s="5"/>
      <c r="BZ20" s="5"/>
      <c r="CA20" s="48">
        <f t="shared" si="13"/>
        <v>0</v>
      </c>
      <c r="CB20" s="5"/>
      <c r="CC20" s="5"/>
      <c r="CD20" s="5"/>
      <c r="CE20" s="5"/>
      <c r="CF20" s="5"/>
      <c r="CG20" s="48">
        <f t="shared" si="14"/>
        <v>0</v>
      </c>
    </row>
    <row r="21" spans="1:85" s="103" customFormat="1" ht="16" x14ac:dyDescent="0.2">
      <c r="A21" s="94" t="s">
        <v>266</v>
      </c>
      <c r="B21" s="94">
        <v>1</v>
      </c>
      <c r="C21" s="95" t="s">
        <v>265</v>
      </c>
      <c r="D21" s="105"/>
      <c r="E21" s="94"/>
      <c r="F21" s="94">
        <v>1</v>
      </c>
      <c r="G21" s="94"/>
      <c r="H21" s="94"/>
      <c r="I21" s="96" t="e">
        <f t="shared" si="0"/>
        <v>#DIV/0!</v>
      </c>
      <c r="J21" s="97" t="e">
        <f t="shared" si="1"/>
        <v>#DIV/0!</v>
      </c>
      <c r="K21" s="97" t="e">
        <f t="shared" si="2"/>
        <v>#DIV/0!</v>
      </c>
      <c r="L21" s="98"/>
      <c r="M21" s="99"/>
      <c r="N21" s="94"/>
      <c r="O21" s="94"/>
      <c r="P21" s="94"/>
      <c r="Q21" s="94"/>
      <c r="R21" s="100" t="e">
        <f t="shared" si="3"/>
        <v>#DIV/0!</v>
      </c>
      <c r="S21" s="94"/>
      <c r="T21" s="94"/>
      <c r="U21" s="94"/>
      <c r="V21" s="94"/>
      <c r="W21" s="94"/>
      <c r="X21" s="100" t="e">
        <f t="shared" si="4"/>
        <v>#DIV/0!</v>
      </c>
      <c r="Y21" s="99"/>
      <c r="Z21" s="94"/>
      <c r="AA21" s="94"/>
      <c r="AB21" s="94"/>
      <c r="AC21" s="94"/>
      <c r="AD21" s="100" t="e">
        <f t="shared" si="5"/>
        <v>#DIV/0!</v>
      </c>
      <c r="AE21" s="94"/>
      <c r="AF21" s="94"/>
      <c r="AG21" s="94"/>
      <c r="AH21" s="94"/>
      <c r="AI21" s="94"/>
      <c r="AJ21" s="100" t="e">
        <f t="shared" si="6"/>
        <v>#DIV/0!</v>
      </c>
      <c r="AK21" s="101"/>
      <c r="AL21" s="94"/>
      <c r="AM21" s="94"/>
      <c r="AN21" s="94"/>
      <c r="AO21" s="94"/>
      <c r="AP21" s="100" t="e">
        <f t="shared" si="7"/>
        <v>#DIV/0!</v>
      </c>
      <c r="AQ21" s="94"/>
      <c r="AR21" s="94"/>
      <c r="AS21" s="94"/>
      <c r="AT21" s="94"/>
      <c r="AU21" s="94"/>
      <c r="AV21" s="100" t="e">
        <f t="shared" si="8"/>
        <v>#DIV/0!</v>
      </c>
      <c r="AW21" s="94"/>
      <c r="AX21" s="94"/>
      <c r="AY21" s="94"/>
      <c r="AZ21" s="94"/>
      <c r="BA21" s="94"/>
      <c r="BB21" s="100" t="e">
        <f t="shared" si="9"/>
        <v>#DIV/0!</v>
      </c>
      <c r="BC21" s="94"/>
      <c r="BD21" s="94"/>
      <c r="BE21" s="94"/>
      <c r="BF21" s="94"/>
      <c r="BG21" s="94"/>
      <c r="BH21" s="100" t="e">
        <f t="shared" si="10"/>
        <v>#DIV/0!</v>
      </c>
      <c r="BI21" s="68"/>
      <c r="BJ21" s="94"/>
      <c r="BK21" s="94"/>
      <c r="BL21" s="94"/>
      <c r="BM21" s="94"/>
      <c r="BN21" s="94"/>
      <c r="BO21" s="100">
        <f t="shared" si="11"/>
        <v>0</v>
      </c>
      <c r="BP21" s="94"/>
      <c r="BQ21" s="94"/>
      <c r="BR21" s="94"/>
      <c r="BS21" s="94"/>
      <c r="BT21" s="94"/>
      <c r="BU21" s="100">
        <f t="shared" si="12"/>
        <v>0</v>
      </c>
      <c r="BV21" s="94"/>
      <c r="BW21" s="94"/>
      <c r="BX21" s="94"/>
      <c r="BY21" s="94"/>
      <c r="BZ21" s="94"/>
      <c r="CA21" s="100">
        <f t="shared" si="13"/>
        <v>0</v>
      </c>
      <c r="CB21" s="94"/>
      <c r="CC21" s="94"/>
      <c r="CD21" s="94"/>
      <c r="CE21" s="94"/>
      <c r="CF21" s="94"/>
      <c r="CG21" s="100">
        <f t="shared" si="14"/>
        <v>0</v>
      </c>
    </row>
    <row r="22" spans="1:85" ht="16" x14ac:dyDescent="0.2">
      <c r="A22" s="5" t="s">
        <v>264</v>
      </c>
      <c r="B22" s="5">
        <v>1</v>
      </c>
      <c r="C22" s="53" t="s">
        <v>263</v>
      </c>
      <c r="D22" s="6">
        <v>1</v>
      </c>
      <c r="E22" s="5"/>
      <c r="F22" s="5"/>
      <c r="G22" s="59"/>
      <c r="H22" s="59"/>
      <c r="I22" s="30">
        <f t="shared" si="0"/>
        <v>62.999999999999993</v>
      </c>
      <c r="J22" s="33">
        <f t="shared" si="1"/>
        <v>90</v>
      </c>
      <c r="K22" s="33">
        <f t="shared" si="2"/>
        <v>90</v>
      </c>
      <c r="L22" s="57"/>
      <c r="M22" s="44">
        <v>1</v>
      </c>
      <c r="N22" s="5">
        <v>1</v>
      </c>
      <c r="O22" s="5">
        <v>1</v>
      </c>
      <c r="P22" s="5">
        <v>1</v>
      </c>
      <c r="Q22" s="5">
        <v>1</v>
      </c>
      <c r="R22" s="48">
        <f t="shared" si="3"/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48">
        <f t="shared" si="4"/>
        <v>1</v>
      </c>
      <c r="Y22" s="44">
        <v>1</v>
      </c>
      <c r="Z22" s="5">
        <v>1</v>
      </c>
      <c r="AA22" s="5">
        <v>1</v>
      </c>
      <c r="AB22" s="5">
        <v>1</v>
      </c>
      <c r="AC22" s="5">
        <v>1</v>
      </c>
      <c r="AD22" s="48">
        <f t="shared" si="5"/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48">
        <f t="shared" si="6"/>
        <v>1</v>
      </c>
      <c r="AK22" s="34">
        <v>1</v>
      </c>
      <c r="AL22" s="5">
        <v>1</v>
      </c>
      <c r="AM22" s="5">
        <v>1</v>
      </c>
      <c r="AN22" s="5">
        <v>1</v>
      </c>
      <c r="AO22" s="5">
        <v>1</v>
      </c>
      <c r="AP22" s="48">
        <f t="shared" si="7"/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48">
        <f t="shared" si="8"/>
        <v>1</v>
      </c>
      <c r="AW22" s="5">
        <v>0.25</v>
      </c>
      <c r="AX22" s="5">
        <v>0.75</v>
      </c>
      <c r="AY22" s="5">
        <v>0.25</v>
      </c>
      <c r="AZ22" s="5">
        <v>0</v>
      </c>
      <c r="BA22" s="5">
        <v>0</v>
      </c>
      <c r="BB22" s="48">
        <f t="shared" si="9"/>
        <v>0.25</v>
      </c>
      <c r="BC22" s="5">
        <v>0.25</v>
      </c>
      <c r="BD22" s="5">
        <v>0.75</v>
      </c>
      <c r="BE22" s="5">
        <v>0.25</v>
      </c>
      <c r="BF22" s="5">
        <v>0</v>
      </c>
      <c r="BG22" s="5">
        <v>0</v>
      </c>
      <c r="BH22" s="48">
        <f t="shared" si="10"/>
        <v>0.25</v>
      </c>
      <c r="BI22" s="68"/>
      <c r="BJ22" s="5"/>
      <c r="BK22" s="5"/>
      <c r="BL22" s="5"/>
      <c r="BM22" s="5"/>
      <c r="BN22" s="5"/>
      <c r="BO22" s="48">
        <f t="shared" si="11"/>
        <v>0</v>
      </c>
      <c r="BP22" s="5"/>
      <c r="BQ22" s="5"/>
      <c r="BR22" s="5"/>
      <c r="BS22" s="5"/>
      <c r="BT22" s="5"/>
      <c r="BU22" s="48">
        <f t="shared" si="12"/>
        <v>0</v>
      </c>
      <c r="BV22" s="5"/>
      <c r="BW22" s="5"/>
      <c r="BX22" s="5"/>
      <c r="BY22" s="5"/>
      <c r="BZ22" s="5"/>
      <c r="CA22" s="48">
        <f t="shared" si="13"/>
        <v>0</v>
      </c>
      <c r="CB22" s="5"/>
      <c r="CC22" s="5"/>
      <c r="CD22" s="5"/>
      <c r="CE22" s="5"/>
      <c r="CF22" s="5"/>
      <c r="CG22" s="48">
        <f t="shared" si="14"/>
        <v>0</v>
      </c>
    </row>
    <row r="23" spans="1:85" s="103" customFormat="1" ht="16" x14ac:dyDescent="0.2">
      <c r="A23" s="94" t="s">
        <v>262</v>
      </c>
      <c r="B23" s="94">
        <v>1</v>
      </c>
      <c r="C23" s="95" t="s">
        <v>261</v>
      </c>
      <c r="D23" s="105"/>
      <c r="E23" s="94"/>
      <c r="F23" s="94"/>
      <c r="G23" s="94"/>
      <c r="H23" s="94"/>
      <c r="I23" s="96" t="e">
        <f t="shared" si="0"/>
        <v>#DIV/0!</v>
      </c>
      <c r="J23" s="97" t="e">
        <f t="shared" si="1"/>
        <v>#DIV/0!</v>
      </c>
      <c r="K23" s="97" t="e">
        <f t="shared" si="2"/>
        <v>#DIV/0!</v>
      </c>
      <c r="L23" s="98"/>
      <c r="M23" s="99"/>
      <c r="N23" s="94"/>
      <c r="O23" s="94"/>
      <c r="P23" s="94"/>
      <c r="Q23" s="94"/>
      <c r="R23" s="100" t="e">
        <f t="shared" si="3"/>
        <v>#DIV/0!</v>
      </c>
      <c r="S23" s="94"/>
      <c r="T23" s="94"/>
      <c r="U23" s="94"/>
      <c r="V23" s="94"/>
      <c r="W23" s="94"/>
      <c r="X23" s="100" t="e">
        <f t="shared" si="4"/>
        <v>#DIV/0!</v>
      </c>
      <c r="Y23" s="99"/>
      <c r="Z23" s="94"/>
      <c r="AA23" s="94"/>
      <c r="AB23" s="94"/>
      <c r="AC23" s="94"/>
      <c r="AD23" s="100" t="e">
        <f t="shared" si="5"/>
        <v>#DIV/0!</v>
      </c>
      <c r="AE23" s="94"/>
      <c r="AF23" s="94"/>
      <c r="AG23" s="94"/>
      <c r="AH23" s="94"/>
      <c r="AI23" s="94"/>
      <c r="AJ23" s="100" t="e">
        <f t="shared" si="6"/>
        <v>#DIV/0!</v>
      </c>
      <c r="AK23" s="101"/>
      <c r="AL23" s="94"/>
      <c r="AM23" s="94"/>
      <c r="AN23" s="94"/>
      <c r="AO23" s="94"/>
      <c r="AP23" s="100" t="e">
        <f t="shared" si="7"/>
        <v>#DIV/0!</v>
      </c>
      <c r="AQ23" s="94"/>
      <c r="AR23" s="94"/>
      <c r="AS23" s="94"/>
      <c r="AT23" s="94"/>
      <c r="AU23" s="94"/>
      <c r="AV23" s="100" t="e">
        <f t="shared" si="8"/>
        <v>#DIV/0!</v>
      </c>
      <c r="AW23" s="94"/>
      <c r="AX23" s="94"/>
      <c r="AY23" s="94"/>
      <c r="AZ23" s="94"/>
      <c r="BA23" s="94"/>
      <c r="BB23" s="100" t="e">
        <f t="shared" si="9"/>
        <v>#DIV/0!</v>
      </c>
      <c r="BC23" s="94"/>
      <c r="BD23" s="94"/>
      <c r="BE23" s="94"/>
      <c r="BF23" s="94"/>
      <c r="BG23" s="94"/>
      <c r="BH23" s="100" t="e">
        <f t="shared" si="10"/>
        <v>#DIV/0!</v>
      </c>
      <c r="BI23" s="68"/>
      <c r="BJ23" s="94"/>
      <c r="BK23" s="94"/>
      <c r="BL23" s="94"/>
      <c r="BM23" s="94"/>
      <c r="BN23" s="94"/>
      <c r="BO23" s="100">
        <f t="shared" si="11"/>
        <v>0</v>
      </c>
      <c r="BP23" s="94"/>
      <c r="BQ23" s="94"/>
      <c r="BR23" s="94"/>
      <c r="BS23" s="94"/>
      <c r="BT23" s="94"/>
      <c r="BU23" s="100">
        <f t="shared" si="12"/>
        <v>0</v>
      </c>
      <c r="BV23" s="94"/>
      <c r="BW23" s="94"/>
      <c r="BX23" s="94"/>
      <c r="BY23" s="94"/>
      <c r="BZ23" s="94"/>
      <c r="CA23" s="100">
        <f t="shared" si="13"/>
        <v>0</v>
      </c>
      <c r="CB23" s="94"/>
      <c r="CC23" s="94"/>
      <c r="CD23" s="94"/>
      <c r="CE23" s="94"/>
      <c r="CF23" s="94"/>
      <c r="CG23" s="100">
        <f t="shared" si="14"/>
        <v>0</v>
      </c>
    </row>
    <row r="24" spans="1:85" s="103" customFormat="1" ht="16" x14ac:dyDescent="0.2">
      <c r="A24" s="94" t="s">
        <v>260</v>
      </c>
      <c r="B24" s="94">
        <v>1</v>
      </c>
      <c r="C24" s="95" t="s">
        <v>259</v>
      </c>
      <c r="D24" s="105"/>
      <c r="E24" s="94">
        <v>1</v>
      </c>
      <c r="F24" s="94"/>
      <c r="G24" s="94"/>
      <c r="H24" s="94"/>
      <c r="I24" s="96" t="e">
        <f t="shared" si="0"/>
        <v>#DIV/0!</v>
      </c>
      <c r="J24" s="97" t="e">
        <f t="shared" si="1"/>
        <v>#DIV/0!</v>
      </c>
      <c r="K24" s="97" t="e">
        <f t="shared" si="2"/>
        <v>#DIV/0!</v>
      </c>
      <c r="L24" s="98"/>
      <c r="M24" s="99"/>
      <c r="N24" s="94"/>
      <c r="O24" s="94"/>
      <c r="P24" s="94"/>
      <c r="Q24" s="94"/>
      <c r="R24" s="100" t="e">
        <f t="shared" si="3"/>
        <v>#DIV/0!</v>
      </c>
      <c r="S24" s="94"/>
      <c r="T24" s="94"/>
      <c r="U24" s="94"/>
      <c r="V24" s="94"/>
      <c r="W24" s="94"/>
      <c r="X24" s="100" t="e">
        <f t="shared" si="4"/>
        <v>#DIV/0!</v>
      </c>
      <c r="Y24" s="99"/>
      <c r="Z24" s="94"/>
      <c r="AA24" s="94"/>
      <c r="AB24" s="94"/>
      <c r="AC24" s="94"/>
      <c r="AD24" s="100" t="e">
        <f t="shared" si="5"/>
        <v>#DIV/0!</v>
      </c>
      <c r="AE24" s="94"/>
      <c r="AF24" s="94"/>
      <c r="AG24" s="94"/>
      <c r="AH24" s="94"/>
      <c r="AI24" s="94"/>
      <c r="AJ24" s="100" t="e">
        <f t="shared" si="6"/>
        <v>#DIV/0!</v>
      </c>
      <c r="AK24" s="101"/>
      <c r="AL24" s="94"/>
      <c r="AM24" s="94"/>
      <c r="AN24" s="94"/>
      <c r="AO24" s="94"/>
      <c r="AP24" s="100" t="e">
        <f t="shared" si="7"/>
        <v>#DIV/0!</v>
      </c>
      <c r="AQ24" s="94"/>
      <c r="AR24" s="94"/>
      <c r="AS24" s="94"/>
      <c r="AT24" s="94"/>
      <c r="AU24" s="94"/>
      <c r="AV24" s="100" t="e">
        <f t="shared" si="8"/>
        <v>#DIV/0!</v>
      </c>
      <c r="AW24" s="94"/>
      <c r="AX24" s="94"/>
      <c r="AY24" s="94"/>
      <c r="AZ24" s="94"/>
      <c r="BA24" s="94"/>
      <c r="BB24" s="100" t="e">
        <f t="shared" si="9"/>
        <v>#DIV/0!</v>
      </c>
      <c r="BC24" s="94"/>
      <c r="BD24" s="94"/>
      <c r="BE24" s="94"/>
      <c r="BF24" s="94"/>
      <c r="BG24" s="94"/>
      <c r="BH24" s="100" t="e">
        <f t="shared" si="10"/>
        <v>#DIV/0!</v>
      </c>
      <c r="BI24" s="68"/>
      <c r="BJ24" s="94"/>
      <c r="BK24" s="94"/>
      <c r="BL24" s="94"/>
      <c r="BM24" s="94"/>
      <c r="BN24" s="94"/>
      <c r="BO24" s="100">
        <f t="shared" si="11"/>
        <v>0</v>
      </c>
      <c r="BP24" s="94"/>
      <c r="BQ24" s="94"/>
      <c r="BR24" s="94"/>
      <c r="BS24" s="94"/>
      <c r="BT24" s="94"/>
      <c r="BU24" s="100">
        <f t="shared" si="12"/>
        <v>0</v>
      </c>
      <c r="BV24" s="94"/>
      <c r="BW24" s="94"/>
      <c r="BX24" s="94"/>
      <c r="BY24" s="94"/>
      <c r="BZ24" s="94"/>
      <c r="CA24" s="100">
        <f t="shared" si="13"/>
        <v>0</v>
      </c>
      <c r="CB24" s="94"/>
      <c r="CC24" s="94"/>
      <c r="CD24" s="94"/>
      <c r="CE24" s="94"/>
      <c r="CF24" s="94"/>
      <c r="CG24" s="100">
        <f t="shared" si="14"/>
        <v>0</v>
      </c>
    </row>
    <row r="25" spans="1:85" s="103" customFormat="1" ht="16" x14ac:dyDescent="0.2">
      <c r="A25" s="94" t="s">
        <v>258</v>
      </c>
      <c r="B25" s="94">
        <v>1</v>
      </c>
      <c r="C25" s="95" t="s">
        <v>257</v>
      </c>
      <c r="D25" s="105"/>
      <c r="E25" s="94"/>
      <c r="F25" s="94"/>
      <c r="G25" s="94"/>
      <c r="H25" s="94"/>
      <c r="I25" s="96" t="e">
        <f t="shared" si="0"/>
        <v>#DIV/0!</v>
      </c>
      <c r="J25" s="97" t="e">
        <f t="shared" si="1"/>
        <v>#DIV/0!</v>
      </c>
      <c r="K25" s="97" t="e">
        <f t="shared" si="2"/>
        <v>#DIV/0!</v>
      </c>
      <c r="L25" s="98"/>
      <c r="M25" s="99"/>
      <c r="N25" s="94"/>
      <c r="O25" s="94"/>
      <c r="P25" s="94"/>
      <c r="Q25" s="94"/>
      <c r="R25" s="100" t="e">
        <f t="shared" si="3"/>
        <v>#DIV/0!</v>
      </c>
      <c r="S25" s="94"/>
      <c r="T25" s="94"/>
      <c r="U25" s="94"/>
      <c r="V25" s="94"/>
      <c r="W25" s="94"/>
      <c r="X25" s="100" t="e">
        <f t="shared" si="4"/>
        <v>#DIV/0!</v>
      </c>
      <c r="Y25" s="99"/>
      <c r="Z25" s="94"/>
      <c r="AA25" s="94"/>
      <c r="AB25" s="94"/>
      <c r="AC25" s="94"/>
      <c r="AD25" s="100" t="e">
        <f t="shared" si="5"/>
        <v>#DIV/0!</v>
      </c>
      <c r="AE25" s="94"/>
      <c r="AF25" s="94"/>
      <c r="AG25" s="94"/>
      <c r="AH25" s="94"/>
      <c r="AI25" s="94"/>
      <c r="AJ25" s="100" t="e">
        <f t="shared" si="6"/>
        <v>#DIV/0!</v>
      </c>
      <c r="AK25" s="101"/>
      <c r="AL25" s="94"/>
      <c r="AM25" s="94"/>
      <c r="AN25" s="94"/>
      <c r="AO25" s="94"/>
      <c r="AP25" s="100" t="e">
        <f t="shared" si="7"/>
        <v>#DIV/0!</v>
      </c>
      <c r="AQ25" s="94"/>
      <c r="AR25" s="94"/>
      <c r="AS25" s="94"/>
      <c r="AT25" s="94"/>
      <c r="AU25" s="94"/>
      <c r="AV25" s="100" t="e">
        <f t="shared" si="8"/>
        <v>#DIV/0!</v>
      </c>
      <c r="AW25" s="94"/>
      <c r="AX25" s="94"/>
      <c r="AY25" s="94"/>
      <c r="AZ25" s="94"/>
      <c r="BA25" s="94"/>
      <c r="BB25" s="100" t="e">
        <f t="shared" si="9"/>
        <v>#DIV/0!</v>
      </c>
      <c r="BC25" s="94"/>
      <c r="BD25" s="94"/>
      <c r="BE25" s="94"/>
      <c r="BF25" s="94"/>
      <c r="BG25" s="94"/>
      <c r="BH25" s="100" t="e">
        <f t="shared" si="10"/>
        <v>#DIV/0!</v>
      </c>
      <c r="BI25" s="68"/>
      <c r="BJ25" s="94"/>
      <c r="BK25" s="94"/>
      <c r="BL25" s="94"/>
      <c r="BM25" s="94"/>
      <c r="BN25" s="94"/>
      <c r="BO25" s="100">
        <f t="shared" si="11"/>
        <v>0</v>
      </c>
      <c r="BP25" s="94"/>
      <c r="BQ25" s="94"/>
      <c r="BR25" s="94"/>
      <c r="BS25" s="94"/>
      <c r="BT25" s="94"/>
      <c r="BU25" s="100">
        <f t="shared" si="12"/>
        <v>0</v>
      </c>
      <c r="BV25" s="94"/>
      <c r="BW25" s="94"/>
      <c r="BX25" s="94"/>
      <c r="BY25" s="94"/>
      <c r="BZ25" s="94"/>
      <c r="CA25" s="100">
        <f t="shared" si="13"/>
        <v>0</v>
      </c>
      <c r="CB25" s="94"/>
      <c r="CC25" s="94"/>
      <c r="CD25" s="94"/>
      <c r="CE25" s="94"/>
      <c r="CF25" s="94"/>
      <c r="CG25" s="100">
        <f t="shared" si="14"/>
        <v>0</v>
      </c>
    </row>
    <row r="26" spans="1:85" ht="16" x14ac:dyDescent="0.2">
      <c r="A26" s="5" t="s">
        <v>256</v>
      </c>
      <c r="B26" s="5">
        <v>1</v>
      </c>
      <c r="C26" s="13" t="s">
        <v>255</v>
      </c>
      <c r="D26" s="6">
        <v>1</v>
      </c>
      <c r="E26" s="5"/>
      <c r="F26" s="5">
        <v>1</v>
      </c>
      <c r="G26" s="59"/>
      <c r="H26" s="59"/>
      <c r="I26" s="30">
        <f t="shared" si="0"/>
        <v>34.474999999999994</v>
      </c>
      <c r="J26" s="33">
        <f t="shared" si="1"/>
        <v>49.25</v>
      </c>
      <c r="K26" s="33">
        <f t="shared" si="2"/>
        <v>49.25</v>
      </c>
      <c r="L26" s="57"/>
      <c r="M26" s="44">
        <v>1</v>
      </c>
      <c r="N26" s="5">
        <v>1</v>
      </c>
      <c r="O26" s="5">
        <v>1</v>
      </c>
      <c r="P26" s="5">
        <v>1</v>
      </c>
      <c r="Q26" s="5">
        <v>1</v>
      </c>
      <c r="R26" s="48">
        <f t="shared" si="3"/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48">
        <f t="shared" si="4"/>
        <v>1</v>
      </c>
      <c r="Y26" s="44">
        <v>0.75</v>
      </c>
      <c r="Z26" s="5">
        <v>0.5</v>
      </c>
      <c r="AA26" s="5">
        <v>0.25</v>
      </c>
      <c r="AB26" s="5">
        <v>0</v>
      </c>
      <c r="AC26" s="5">
        <v>0</v>
      </c>
      <c r="AD26" s="48">
        <f t="shared" si="5"/>
        <v>0.3</v>
      </c>
      <c r="AE26" s="5">
        <v>0.75</v>
      </c>
      <c r="AF26" s="5">
        <v>0.5</v>
      </c>
      <c r="AG26" s="5">
        <v>0.5</v>
      </c>
      <c r="AH26" s="5">
        <v>0</v>
      </c>
      <c r="AI26" s="5">
        <v>0</v>
      </c>
      <c r="AJ26" s="48">
        <f t="shared" si="6"/>
        <v>0.35</v>
      </c>
      <c r="AK26" s="34">
        <v>1</v>
      </c>
      <c r="AL26" s="5">
        <v>1</v>
      </c>
      <c r="AM26" s="5">
        <v>1</v>
      </c>
      <c r="AN26" s="5">
        <v>0</v>
      </c>
      <c r="AO26" s="5">
        <v>0</v>
      </c>
      <c r="AP26" s="48">
        <f t="shared" si="7"/>
        <v>0.6</v>
      </c>
      <c r="AQ26" s="5">
        <v>0.5</v>
      </c>
      <c r="AR26" s="5">
        <v>0.5</v>
      </c>
      <c r="AS26" s="5">
        <v>0.5</v>
      </c>
      <c r="AT26" s="5">
        <v>0.5</v>
      </c>
      <c r="AU26" s="5">
        <v>0.5</v>
      </c>
      <c r="AV26" s="48">
        <f t="shared" si="8"/>
        <v>0.5</v>
      </c>
      <c r="AW26" s="5">
        <v>0.25</v>
      </c>
      <c r="AX26" s="5">
        <v>0.25</v>
      </c>
      <c r="AY26" s="5">
        <v>0.25</v>
      </c>
      <c r="AZ26" s="5">
        <v>0</v>
      </c>
      <c r="BA26" s="5">
        <v>0</v>
      </c>
      <c r="BB26" s="48">
        <f t="shared" si="9"/>
        <v>0.15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48">
        <f t="shared" si="10"/>
        <v>0</v>
      </c>
      <c r="BI26" s="68"/>
      <c r="BJ26" s="5"/>
      <c r="BK26" s="5"/>
      <c r="BL26" s="5"/>
      <c r="BM26" s="5"/>
      <c r="BN26" s="5"/>
      <c r="BO26" s="48">
        <f t="shared" si="11"/>
        <v>0</v>
      </c>
      <c r="BP26" s="5"/>
      <c r="BQ26" s="5"/>
      <c r="BR26" s="5"/>
      <c r="BS26" s="5"/>
      <c r="BT26" s="5"/>
      <c r="BU26" s="48">
        <f t="shared" si="12"/>
        <v>0</v>
      </c>
      <c r="BV26" s="5"/>
      <c r="BW26" s="5"/>
      <c r="BX26" s="5"/>
      <c r="BY26" s="5"/>
      <c r="BZ26" s="5"/>
      <c r="CA26" s="48">
        <f t="shared" si="13"/>
        <v>0</v>
      </c>
      <c r="CB26" s="5"/>
      <c r="CC26" s="5"/>
      <c r="CD26" s="5"/>
      <c r="CE26" s="5"/>
      <c r="CF26" s="5"/>
      <c r="CG26" s="48">
        <f t="shared" si="14"/>
        <v>0</v>
      </c>
    </row>
    <row r="27" spans="1:85" ht="16" x14ac:dyDescent="0.2">
      <c r="A27" s="7" t="s">
        <v>254</v>
      </c>
      <c r="B27" s="7">
        <v>1</v>
      </c>
      <c r="C27" s="14" t="s">
        <v>253</v>
      </c>
      <c r="D27" s="8">
        <v>1</v>
      </c>
      <c r="E27" s="7"/>
      <c r="F27" s="7">
        <v>1</v>
      </c>
      <c r="G27" s="59"/>
      <c r="H27" s="59"/>
      <c r="I27" s="30">
        <f t="shared" si="0"/>
        <v>17.5</v>
      </c>
      <c r="J27" s="33">
        <f t="shared" si="1"/>
        <v>25</v>
      </c>
      <c r="K27" s="33">
        <f t="shared" si="2"/>
        <v>25</v>
      </c>
      <c r="L27" s="57"/>
      <c r="M27" s="45">
        <v>0.5</v>
      </c>
      <c r="N27" s="7">
        <v>0.5</v>
      </c>
      <c r="O27" s="7">
        <v>0.5</v>
      </c>
      <c r="P27" s="7">
        <v>0.5</v>
      </c>
      <c r="Q27" s="7">
        <v>0.5</v>
      </c>
      <c r="R27" s="48">
        <f t="shared" si="3"/>
        <v>0.5</v>
      </c>
      <c r="S27" s="7">
        <v>0.5</v>
      </c>
      <c r="T27" s="7">
        <v>0.5</v>
      </c>
      <c r="U27" s="7">
        <v>0.5</v>
      </c>
      <c r="V27" s="7">
        <v>0.5</v>
      </c>
      <c r="W27" s="7">
        <v>0.5</v>
      </c>
      <c r="X27" s="48">
        <f t="shared" si="4"/>
        <v>0.5</v>
      </c>
      <c r="Y27" s="45">
        <v>1</v>
      </c>
      <c r="Z27" s="7">
        <v>1</v>
      </c>
      <c r="AA27" s="7">
        <v>1</v>
      </c>
      <c r="AB27" s="7">
        <v>1</v>
      </c>
      <c r="AC27" s="7">
        <v>1</v>
      </c>
      <c r="AD27" s="48">
        <f t="shared" si="5"/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48">
        <f t="shared" si="6"/>
        <v>0</v>
      </c>
      <c r="AK27" s="35">
        <v>0</v>
      </c>
      <c r="AL27" s="7">
        <v>0</v>
      </c>
      <c r="AM27" s="7">
        <v>0</v>
      </c>
      <c r="AN27" s="7">
        <v>0</v>
      </c>
      <c r="AO27" s="7">
        <v>0</v>
      </c>
      <c r="AP27" s="48">
        <f t="shared" si="7"/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48">
        <f t="shared" si="8"/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48">
        <f t="shared" si="9"/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48">
        <f t="shared" si="10"/>
        <v>0</v>
      </c>
      <c r="BI27" s="68"/>
      <c r="BJ27" s="7"/>
      <c r="BK27" s="7"/>
      <c r="BL27" s="7"/>
      <c r="BM27" s="7"/>
      <c r="BN27" s="7"/>
      <c r="BO27" s="48">
        <f t="shared" si="11"/>
        <v>0</v>
      </c>
      <c r="BP27" s="7"/>
      <c r="BQ27" s="7"/>
      <c r="BR27" s="7"/>
      <c r="BS27" s="7"/>
      <c r="BT27" s="7"/>
      <c r="BU27" s="48">
        <f t="shared" si="12"/>
        <v>0</v>
      </c>
      <c r="BV27" s="7"/>
      <c r="BW27" s="7"/>
      <c r="BX27" s="7"/>
      <c r="BY27" s="7"/>
      <c r="BZ27" s="7"/>
      <c r="CA27" s="48">
        <f t="shared" si="13"/>
        <v>0</v>
      </c>
      <c r="CB27" s="7"/>
      <c r="CC27" s="7"/>
      <c r="CD27" s="7"/>
      <c r="CE27" s="7"/>
      <c r="CF27" s="7"/>
      <c r="CG27" s="48">
        <f t="shared" si="14"/>
        <v>0</v>
      </c>
    </row>
    <row r="28" spans="1:85" ht="16" x14ac:dyDescent="0.2">
      <c r="A28" s="5" t="s">
        <v>252</v>
      </c>
      <c r="B28" s="5">
        <v>1</v>
      </c>
      <c r="C28" s="13" t="s">
        <v>251</v>
      </c>
      <c r="D28" s="6">
        <v>1</v>
      </c>
      <c r="E28" s="5">
        <v>1</v>
      </c>
      <c r="F28" s="5">
        <v>1</v>
      </c>
      <c r="G28" s="59"/>
      <c r="H28" s="59"/>
      <c r="I28" s="30">
        <f t="shared" si="0"/>
        <v>56</v>
      </c>
      <c r="J28" s="33">
        <f t="shared" si="1"/>
        <v>80</v>
      </c>
      <c r="K28" s="33">
        <f t="shared" si="2"/>
        <v>80</v>
      </c>
      <c r="L28" s="57"/>
      <c r="M28" s="44">
        <v>1</v>
      </c>
      <c r="N28" s="5">
        <v>1</v>
      </c>
      <c r="O28" s="5">
        <v>1</v>
      </c>
      <c r="P28" s="5">
        <v>1</v>
      </c>
      <c r="Q28" s="5">
        <v>1</v>
      </c>
      <c r="R28" s="48">
        <f t="shared" si="3"/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48">
        <f t="shared" si="4"/>
        <v>1</v>
      </c>
      <c r="Y28" s="44">
        <v>1</v>
      </c>
      <c r="Z28" s="5">
        <v>1</v>
      </c>
      <c r="AA28" s="5">
        <v>1</v>
      </c>
      <c r="AB28" s="5">
        <v>1</v>
      </c>
      <c r="AC28" s="5">
        <v>1</v>
      </c>
      <c r="AD28" s="48">
        <f t="shared" si="5"/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48">
        <f t="shared" si="6"/>
        <v>1</v>
      </c>
      <c r="AK28" s="34">
        <v>1</v>
      </c>
      <c r="AL28" s="5">
        <v>1</v>
      </c>
      <c r="AM28" s="5">
        <v>1</v>
      </c>
      <c r="AN28" s="5">
        <v>1</v>
      </c>
      <c r="AO28" s="5">
        <v>1</v>
      </c>
      <c r="AP28" s="48">
        <f t="shared" si="7"/>
        <v>1</v>
      </c>
      <c r="AQ28" s="5">
        <v>1</v>
      </c>
      <c r="AR28" s="5">
        <v>0.5</v>
      </c>
      <c r="AS28" s="5">
        <v>0.5</v>
      </c>
      <c r="AT28" s="5">
        <v>0.5</v>
      </c>
      <c r="AU28" s="5">
        <v>0.5</v>
      </c>
      <c r="AV28" s="48">
        <f t="shared" si="8"/>
        <v>0.6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48">
        <f t="shared" si="9"/>
        <v>0</v>
      </c>
      <c r="BC28" s="5">
        <v>0.5</v>
      </c>
      <c r="BD28" s="5">
        <v>0.5</v>
      </c>
      <c r="BE28" s="5">
        <v>0.5</v>
      </c>
      <c r="BF28" s="5">
        <v>0</v>
      </c>
      <c r="BG28" s="5">
        <v>0</v>
      </c>
      <c r="BH28" s="48">
        <f t="shared" si="10"/>
        <v>0.3</v>
      </c>
      <c r="BI28" s="68"/>
      <c r="BJ28" s="5"/>
      <c r="BK28" s="5"/>
      <c r="BL28" s="5"/>
      <c r="BM28" s="5"/>
      <c r="BN28" s="5"/>
      <c r="BO28" s="48">
        <f t="shared" si="11"/>
        <v>0</v>
      </c>
      <c r="BP28" s="5"/>
      <c r="BQ28" s="5"/>
      <c r="BR28" s="5"/>
      <c r="BS28" s="5"/>
      <c r="BT28" s="5"/>
      <c r="BU28" s="48">
        <f t="shared" si="12"/>
        <v>0</v>
      </c>
      <c r="BV28" s="5"/>
      <c r="BW28" s="5"/>
      <c r="BX28" s="5"/>
      <c r="BY28" s="5"/>
      <c r="BZ28" s="5"/>
      <c r="CA28" s="48">
        <f t="shared" si="13"/>
        <v>0</v>
      </c>
      <c r="CB28" s="5"/>
      <c r="CC28" s="5"/>
      <c r="CD28" s="5"/>
      <c r="CE28" s="5"/>
      <c r="CF28" s="5"/>
      <c r="CG28" s="48">
        <f t="shared" si="14"/>
        <v>0</v>
      </c>
    </row>
    <row r="29" spans="1:85" ht="16" x14ac:dyDescent="0.2">
      <c r="A29" s="7" t="s">
        <v>250</v>
      </c>
      <c r="B29" s="7">
        <v>1</v>
      </c>
      <c r="C29" s="51" t="s">
        <v>249</v>
      </c>
      <c r="D29" s="8">
        <v>1</v>
      </c>
      <c r="E29" s="7"/>
      <c r="F29" s="7">
        <v>1</v>
      </c>
      <c r="G29" s="59"/>
      <c r="H29" s="59"/>
      <c r="I29" s="30">
        <f t="shared" si="0"/>
        <v>70</v>
      </c>
      <c r="J29" s="33">
        <f t="shared" si="1"/>
        <v>100</v>
      </c>
      <c r="K29" s="33">
        <f t="shared" si="2"/>
        <v>118.5</v>
      </c>
      <c r="L29" s="57"/>
      <c r="M29" s="45">
        <v>1</v>
      </c>
      <c r="N29" s="7">
        <v>1</v>
      </c>
      <c r="O29" s="7">
        <v>1</v>
      </c>
      <c r="P29" s="7">
        <v>1</v>
      </c>
      <c r="Q29" s="7">
        <v>1</v>
      </c>
      <c r="R29" s="48">
        <f t="shared" si="3"/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48">
        <f t="shared" si="4"/>
        <v>1</v>
      </c>
      <c r="Y29" s="45">
        <v>1</v>
      </c>
      <c r="Z29" s="7">
        <v>1</v>
      </c>
      <c r="AA29" s="7">
        <v>1</v>
      </c>
      <c r="AB29" s="7">
        <v>1</v>
      </c>
      <c r="AC29" s="7">
        <v>1</v>
      </c>
      <c r="AD29" s="48">
        <f t="shared" si="5"/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48">
        <f t="shared" si="6"/>
        <v>1</v>
      </c>
      <c r="AK29" s="35">
        <v>1</v>
      </c>
      <c r="AL29" s="7">
        <v>1</v>
      </c>
      <c r="AM29" s="7">
        <v>1</v>
      </c>
      <c r="AN29" s="7">
        <v>1</v>
      </c>
      <c r="AO29" s="7">
        <v>1</v>
      </c>
      <c r="AP29" s="48">
        <f t="shared" si="7"/>
        <v>1</v>
      </c>
      <c r="AQ29" s="7">
        <v>1</v>
      </c>
      <c r="AR29" s="7">
        <v>1</v>
      </c>
      <c r="AS29" s="7">
        <v>1</v>
      </c>
      <c r="AT29" s="7">
        <v>0.5</v>
      </c>
      <c r="AU29" s="7">
        <v>1</v>
      </c>
      <c r="AV29" s="48">
        <f t="shared" si="8"/>
        <v>0.9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48">
        <f t="shared" si="9"/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48">
        <f t="shared" si="10"/>
        <v>1</v>
      </c>
      <c r="BI29" s="68"/>
      <c r="BJ29" s="7"/>
      <c r="BK29" s="7"/>
      <c r="BL29" s="7"/>
      <c r="BM29" s="7"/>
      <c r="BN29" s="7"/>
      <c r="BO29" s="48">
        <f t="shared" si="11"/>
        <v>0</v>
      </c>
      <c r="BP29" s="7"/>
      <c r="BQ29" s="7"/>
      <c r="BR29" s="7"/>
      <c r="BS29" s="7"/>
      <c r="BT29" s="7"/>
      <c r="BU29" s="48">
        <f t="shared" si="12"/>
        <v>0</v>
      </c>
      <c r="BV29" s="7"/>
      <c r="BW29" s="7"/>
      <c r="BX29" s="7"/>
      <c r="BY29" s="7"/>
      <c r="BZ29" s="7"/>
      <c r="CA29" s="48">
        <f t="shared" si="13"/>
        <v>0</v>
      </c>
      <c r="CB29" s="7"/>
      <c r="CC29" s="7"/>
      <c r="CD29" s="7"/>
      <c r="CE29" s="7"/>
      <c r="CF29" s="7"/>
      <c r="CG29" s="48">
        <f t="shared" si="14"/>
        <v>0</v>
      </c>
    </row>
    <row r="30" spans="1:85" ht="16" x14ac:dyDescent="0.2">
      <c r="A30" s="5" t="s">
        <v>248</v>
      </c>
      <c r="B30" s="5">
        <v>1</v>
      </c>
      <c r="C30" s="13" t="s">
        <v>247</v>
      </c>
      <c r="D30" s="6">
        <v>1</v>
      </c>
      <c r="E30" s="5"/>
      <c r="F30" s="5">
        <v>1</v>
      </c>
      <c r="G30" s="59"/>
      <c r="H30" s="59"/>
      <c r="I30" s="30">
        <f t="shared" si="0"/>
        <v>63.699999999999996</v>
      </c>
      <c r="J30" s="33">
        <f t="shared" si="1"/>
        <v>91</v>
      </c>
      <c r="K30" s="33">
        <f t="shared" si="2"/>
        <v>91</v>
      </c>
      <c r="L30" s="57"/>
      <c r="M30" s="44">
        <v>1</v>
      </c>
      <c r="N30" s="5">
        <v>1</v>
      </c>
      <c r="O30" s="5">
        <v>1</v>
      </c>
      <c r="P30" s="5">
        <v>1</v>
      </c>
      <c r="Q30" s="5">
        <v>1</v>
      </c>
      <c r="R30" s="48">
        <f t="shared" si="3"/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48">
        <f t="shared" si="4"/>
        <v>1</v>
      </c>
      <c r="Y30" s="44">
        <v>1</v>
      </c>
      <c r="Z30" s="5">
        <v>1</v>
      </c>
      <c r="AA30" s="5">
        <v>1</v>
      </c>
      <c r="AB30" s="5">
        <v>1</v>
      </c>
      <c r="AC30" s="5">
        <v>1</v>
      </c>
      <c r="AD30" s="48">
        <f t="shared" si="5"/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48">
        <f t="shared" si="6"/>
        <v>1</v>
      </c>
      <c r="AK30" s="34">
        <v>1</v>
      </c>
      <c r="AL30" s="5">
        <v>1</v>
      </c>
      <c r="AM30" s="5">
        <v>1</v>
      </c>
      <c r="AN30" s="5">
        <v>1</v>
      </c>
      <c r="AO30" s="5">
        <v>1</v>
      </c>
      <c r="AP30" s="48">
        <f t="shared" si="7"/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48">
        <f t="shared" si="8"/>
        <v>1</v>
      </c>
      <c r="AW30" s="5">
        <v>0.75</v>
      </c>
      <c r="AX30" s="5">
        <v>0.5</v>
      </c>
      <c r="AY30" s="5">
        <v>0.5</v>
      </c>
      <c r="AZ30" s="5">
        <v>0.5</v>
      </c>
      <c r="BA30" s="5">
        <v>0.5</v>
      </c>
      <c r="BB30" s="48">
        <f t="shared" si="9"/>
        <v>0.55000000000000004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48">
        <f t="shared" si="10"/>
        <v>0</v>
      </c>
      <c r="BI30" s="68"/>
      <c r="BJ30" s="5"/>
      <c r="BK30" s="5"/>
      <c r="BL30" s="5"/>
      <c r="BM30" s="5"/>
      <c r="BN30" s="5"/>
      <c r="BO30" s="48">
        <f t="shared" si="11"/>
        <v>0</v>
      </c>
      <c r="BP30" s="5"/>
      <c r="BQ30" s="5"/>
      <c r="BR30" s="5"/>
      <c r="BS30" s="5"/>
      <c r="BT30" s="5"/>
      <c r="BU30" s="48">
        <f t="shared" si="12"/>
        <v>0</v>
      </c>
      <c r="BV30" s="5"/>
      <c r="BW30" s="5"/>
      <c r="BX30" s="5"/>
      <c r="BY30" s="5"/>
      <c r="BZ30" s="5"/>
      <c r="CA30" s="48">
        <f t="shared" si="13"/>
        <v>0</v>
      </c>
      <c r="CB30" s="5"/>
      <c r="CC30" s="5"/>
      <c r="CD30" s="5"/>
      <c r="CE30" s="5"/>
      <c r="CF30" s="5"/>
      <c r="CG30" s="48">
        <f t="shared" si="14"/>
        <v>0</v>
      </c>
    </row>
    <row r="31" spans="1:85" ht="16" x14ac:dyDescent="0.2">
      <c r="A31" s="7" t="s">
        <v>246</v>
      </c>
      <c r="B31" s="7">
        <v>1</v>
      </c>
      <c r="C31" s="51" t="s">
        <v>245</v>
      </c>
      <c r="D31" s="8">
        <v>1</v>
      </c>
      <c r="E31" s="7"/>
      <c r="F31" s="7">
        <v>1</v>
      </c>
      <c r="G31" s="59"/>
      <c r="H31" s="59"/>
      <c r="I31" s="30">
        <f t="shared" si="0"/>
        <v>70</v>
      </c>
      <c r="J31" s="33">
        <f t="shared" si="1"/>
        <v>100</v>
      </c>
      <c r="K31" s="33">
        <f t="shared" si="2"/>
        <v>119.5</v>
      </c>
      <c r="L31" s="57"/>
      <c r="M31" s="45">
        <v>0.75</v>
      </c>
      <c r="N31" s="7">
        <v>1</v>
      </c>
      <c r="O31" s="7">
        <v>1</v>
      </c>
      <c r="P31" s="7">
        <v>1</v>
      </c>
      <c r="Q31" s="7">
        <v>1</v>
      </c>
      <c r="R31" s="48">
        <f t="shared" si="3"/>
        <v>0.95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48">
        <f t="shared" si="4"/>
        <v>1</v>
      </c>
      <c r="Y31" s="45">
        <v>1</v>
      </c>
      <c r="Z31" s="7">
        <v>1</v>
      </c>
      <c r="AA31" s="7">
        <v>1</v>
      </c>
      <c r="AB31" s="7">
        <v>1</v>
      </c>
      <c r="AC31" s="7">
        <v>1</v>
      </c>
      <c r="AD31" s="48">
        <f t="shared" si="5"/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48">
        <f t="shared" si="6"/>
        <v>1</v>
      </c>
      <c r="AK31" s="35">
        <v>1</v>
      </c>
      <c r="AL31" s="7">
        <v>1</v>
      </c>
      <c r="AM31" s="7">
        <v>1</v>
      </c>
      <c r="AN31" s="7">
        <v>1</v>
      </c>
      <c r="AO31" s="7">
        <v>1</v>
      </c>
      <c r="AP31" s="48">
        <f t="shared" si="7"/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48">
        <f t="shared" si="8"/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48">
        <f t="shared" si="9"/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48">
        <f t="shared" si="10"/>
        <v>1</v>
      </c>
      <c r="BI31" s="68"/>
      <c r="BJ31" s="7"/>
      <c r="BK31" s="7"/>
      <c r="BL31" s="7"/>
      <c r="BM31" s="7">
        <v>1</v>
      </c>
      <c r="BN31" s="7"/>
      <c r="BO31" s="48">
        <f t="shared" si="11"/>
        <v>0.2</v>
      </c>
      <c r="BP31" s="7"/>
      <c r="BQ31" s="7"/>
      <c r="BR31" s="7"/>
      <c r="BS31" s="7">
        <v>1</v>
      </c>
      <c r="BT31" s="7"/>
      <c r="BU31" s="48">
        <f t="shared" si="12"/>
        <v>0.2</v>
      </c>
      <c r="BV31" s="7"/>
      <c r="BW31" s="7"/>
      <c r="BX31" s="7"/>
      <c r="BY31" s="7">
        <v>1</v>
      </c>
      <c r="BZ31" s="7"/>
      <c r="CA31" s="48">
        <f t="shared" si="13"/>
        <v>0.2</v>
      </c>
      <c r="CB31" s="7"/>
      <c r="CC31" s="7"/>
      <c r="CD31" s="7"/>
      <c r="CE31" s="7">
        <v>1</v>
      </c>
      <c r="CF31" s="7"/>
      <c r="CG31" s="48">
        <f t="shared" si="14"/>
        <v>0.2</v>
      </c>
    </row>
    <row r="32" spans="1:85" ht="16" x14ac:dyDescent="0.2">
      <c r="A32" s="5" t="s">
        <v>244</v>
      </c>
      <c r="B32" s="5">
        <v>1</v>
      </c>
      <c r="C32" s="13" t="s">
        <v>243</v>
      </c>
      <c r="D32" s="6">
        <v>1</v>
      </c>
      <c r="E32" s="5"/>
      <c r="F32" s="5">
        <v>1</v>
      </c>
      <c r="G32" s="59"/>
      <c r="H32" s="59"/>
      <c r="I32" s="30">
        <f t="shared" si="0"/>
        <v>35</v>
      </c>
      <c r="J32" s="33">
        <f t="shared" si="1"/>
        <v>50</v>
      </c>
      <c r="K32" s="33">
        <f t="shared" si="2"/>
        <v>50</v>
      </c>
      <c r="L32" s="57"/>
      <c r="M32" s="44">
        <v>1</v>
      </c>
      <c r="N32" s="5">
        <v>1</v>
      </c>
      <c r="O32" s="5">
        <v>1</v>
      </c>
      <c r="P32" s="5">
        <v>1</v>
      </c>
      <c r="Q32" s="5">
        <v>1</v>
      </c>
      <c r="R32" s="48">
        <f t="shared" si="3"/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48">
        <f t="shared" si="4"/>
        <v>1</v>
      </c>
      <c r="Y32" s="44">
        <v>1</v>
      </c>
      <c r="Z32" s="5">
        <v>1</v>
      </c>
      <c r="AA32" s="5">
        <v>1</v>
      </c>
      <c r="AB32" s="5">
        <v>1</v>
      </c>
      <c r="AC32" s="5">
        <v>1</v>
      </c>
      <c r="AD32" s="48">
        <f t="shared" si="5"/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48">
        <f t="shared" si="6"/>
        <v>1</v>
      </c>
      <c r="AK32" s="34">
        <v>0</v>
      </c>
      <c r="AL32" s="5">
        <v>0</v>
      </c>
      <c r="AM32" s="5">
        <v>0</v>
      </c>
      <c r="AN32" s="5">
        <v>0</v>
      </c>
      <c r="AO32" s="5">
        <v>0</v>
      </c>
      <c r="AP32" s="48">
        <f t="shared" si="7"/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8">
        <f t="shared" si="8"/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48">
        <f t="shared" si="9"/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48">
        <f t="shared" si="10"/>
        <v>0</v>
      </c>
      <c r="BI32" s="68"/>
      <c r="BJ32" s="5"/>
      <c r="BK32" s="5"/>
      <c r="BL32" s="5"/>
      <c r="BM32" s="5"/>
      <c r="BN32" s="5"/>
      <c r="BO32" s="48">
        <f t="shared" si="11"/>
        <v>0</v>
      </c>
      <c r="BP32" s="5"/>
      <c r="BQ32" s="5"/>
      <c r="BR32" s="5"/>
      <c r="BS32" s="5"/>
      <c r="BT32" s="5"/>
      <c r="BU32" s="48">
        <f t="shared" si="12"/>
        <v>0</v>
      </c>
      <c r="BV32" s="5"/>
      <c r="BW32" s="5"/>
      <c r="BX32" s="5"/>
      <c r="BY32" s="5"/>
      <c r="BZ32" s="5"/>
      <c r="CA32" s="48">
        <f t="shared" si="13"/>
        <v>0</v>
      </c>
      <c r="CB32" s="5"/>
      <c r="CC32" s="5"/>
      <c r="CD32" s="5"/>
      <c r="CE32" s="5"/>
      <c r="CF32" s="5"/>
      <c r="CG32" s="48">
        <f t="shared" si="14"/>
        <v>0</v>
      </c>
    </row>
    <row r="33" spans="1:85" ht="16" x14ac:dyDescent="0.2">
      <c r="A33" s="7" t="s">
        <v>242</v>
      </c>
      <c r="B33" s="7">
        <v>1</v>
      </c>
      <c r="C33" s="14" t="s">
        <v>241</v>
      </c>
      <c r="D33" s="8">
        <v>1</v>
      </c>
      <c r="E33" s="7"/>
      <c r="F33" s="7"/>
      <c r="G33" s="59"/>
      <c r="H33" s="59"/>
      <c r="I33" s="30">
        <f t="shared" si="0"/>
        <v>33.424999999999997</v>
      </c>
      <c r="J33" s="33">
        <f t="shared" si="1"/>
        <v>47.75</v>
      </c>
      <c r="K33" s="33">
        <f t="shared" si="2"/>
        <v>47.75</v>
      </c>
      <c r="L33" s="57"/>
      <c r="M33" s="45">
        <v>1</v>
      </c>
      <c r="N33" s="7">
        <v>1</v>
      </c>
      <c r="O33" s="7">
        <v>1</v>
      </c>
      <c r="P33" s="7">
        <v>0</v>
      </c>
      <c r="Q33" s="7">
        <v>0</v>
      </c>
      <c r="R33" s="48">
        <f t="shared" si="3"/>
        <v>0.6</v>
      </c>
      <c r="S33" s="7">
        <v>0.75</v>
      </c>
      <c r="T33" s="7">
        <v>0.5</v>
      </c>
      <c r="U33" s="7">
        <v>0.5</v>
      </c>
      <c r="V33" s="7">
        <v>0</v>
      </c>
      <c r="W33" s="7">
        <v>0</v>
      </c>
      <c r="X33" s="48">
        <f t="shared" si="4"/>
        <v>0.35</v>
      </c>
      <c r="Y33" s="45">
        <v>1</v>
      </c>
      <c r="Z33" s="7">
        <v>1</v>
      </c>
      <c r="AA33" s="7">
        <v>1</v>
      </c>
      <c r="AB33" s="7">
        <v>1</v>
      </c>
      <c r="AC33" s="7">
        <v>1</v>
      </c>
      <c r="AD33" s="48">
        <f t="shared" si="5"/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48">
        <f t="shared" si="6"/>
        <v>1</v>
      </c>
      <c r="AK33" s="35">
        <v>0.25</v>
      </c>
      <c r="AL33" s="7">
        <v>1</v>
      </c>
      <c r="AM33" s="7">
        <v>0.25</v>
      </c>
      <c r="AN33" s="7">
        <v>0</v>
      </c>
      <c r="AO33" s="7">
        <v>0</v>
      </c>
      <c r="AP33" s="48">
        <f t="shared" si="7"/>
        <v>0.3</v>
      </c>
      <c r="AQ33" s="7">
        <v>0.25</v>
      </c>
      <c r="AR33" s="7">
        <v>1</v>
      </c>
      <c r="AS33" s="7">
        <v>0</v>
      </c>
      <c r="AT33" s="7">
        <v>0</v>
      </c>
      <c r="AU33" s="7">
        <v>0</v>
      </c>
      <c r="AV33" s="48">
        <f t="shared" si="8"/>
        <v>0.25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48">
        <f t="shared" si="9"/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48">
        <f t="shared" si="10"/>
        <v>0</v>
      </c>
      <c r="BI33" s="68"/>
      <c r="BJ33" s="7"/>
      <c r="BK33" s="7"/>
      <c r="BL33" s="7"/>
      <c r="BM33" s="7"/>
      <c r="BN33" s="7"/>
      <c r="BO33" s="48">
        <f t="shared" si="11"/>
        <v>0</v>
      </c>
      <c r="BP33" s="7"/>
      <c r="BQ33" s="7"/>
      <c r="BR33" s="7"/>
      <c r="BS33" s="7"/>
      <c r="BT33" s="7"/>
      <c r="BU33" s="48">
        <f t="shared" si="12"/>
        <v>0</v>
      </c>
      <c r="BV33" s="7"/>
      <c r="BW33" s="7"/>
      <c r="BX33" s="7"/>
      <c r="BY33" s="7"/>
      <c r="BZ33" s="7"/>
      <c r="CA33" s="48">
        <f t="shared" si="13"/>
        <v>0</v>
      </c>
      <c r="CB33" s="7"/>
      <c r="CC33" s="7"/>
      <c r="CD33" s="7"/>
      <c r="CE33" s="7"/>
      <c r="CF33" s="7"/>
      <c r="CG33" s="48">
        <f t="shared" si="14"/>
        <v>0</v>
      </c>
    </row>
    <row r="34" spans="1:85" ht="16" x14ac:dyDescent="0.2">
      <c r="A34" s="5" t="s">
        <v>240</v>
      </c>
      <c r="B34" s="5">
        <v>1</v>
      </c>
      <c r="C34" s="13" t="s">
        <v>239</v>
      </c>
      <c r="D34" s="6">
        <v>1</v>
      </c>
      <c r="E34" s="5"/>
      <c r="F34" s="5">
        <v>1</v>
      </c>
      <c r="G34" s="59"/>
      <c r="H34" s="59"/>
      <c r="I34" s="30">
        <f t="shared" si="0"/>
        <v>2.5199999999999996</v>
      </c>
      <c r="J34" s="33">
        <f t="shared" si="1"/>
        <v>3.5999999999999996</v>
      </c>
      <c r="K34" s="33">
        <f t="shared" si="2"/>
        <v>3.5999999999999996</v>
      </c>
      <c r="L34" s="57"/>
      <c r="M34" s="44">
        <v>0.8</v>
      </c>
      <c r="N34" s="5">
        <v>0.5</v>
      </c>
      <c r="O34" s="5">
        <v>0.5</v>
      </c>
      <c r="P34" s="5">
        <v>0</v>
      </c>
      <c r="Q34" s="5">
        <v>0</v>
      </c>
      <c r="R34" s="48">
        <f t="shared" si="3"/>
        <v>0.36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48">
        <f t="shared" si="4"/>
        <v>0</v>
      </c>
      <c r="Y34" s="44">
        <v>0</v>
      </c>
      <c r="Z34" s="5">
        <v>0</v>
      </c>
      <c r="AA34" s="5">
        <v>0</v>
      </c>
      <c r="AB34" s="5">
        <v>0</v>
      </c>
      <c r="AC34" s="5">
        <v>0</v>
      </c>
      <c r="AD34" s="48">
        <f t="shared" si="5"/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48">
        <f t="shared" si="6"/>
        <v>0</v>
      </c>
      <c r="AK34" s="34">
        <v>0</v>
      </c>
      <c r="AL34" s="5">
        <v>0</v>
      </c>
      <c r="AM34" s="5">
        <v>0</v>
      </c>
      <c r="AN34" s="5">
        <v>0</v>
      </c>
      <c r="AO34" s="5">
        <v>0</v>
      </c>
      <c r="AP34" s="48">
        <f t="shared" si="7"/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8">
        <f t="shared" si="8"/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48">
        <f t="shared" si="9"/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48">
        <f t="shared" si="10"/>
        <v>0</v>
      </c>
      <c r="BI34" s="68"/>
      <c r="BJ34" s="5"/>
      <c r="BK34" s="5"/>
      <c r="BL34" s="5"/>
      <c r="BM34" s="5"/>
      <c r="BN34" s="5"/>
      <c r="BO34" s="48">
        <f t="shared" si="11"/>
        <v>0</v>
      </c>
      <c r="BP34" s="5"/>
      <c r="BQ34" s="5"/>
      <c r="BR34" s="5"/>
      <c r="BS34" s="5"/>
      <c r="BT34" s="5"/>
      <c r="BU34" s="48">
        <f t="shared" si="12"/>
        <v>0</v>
      </c>
      <c r="BV34" s="5"/>
      <c r="BW34" s="5"/>
      <c r="BX34" s="5"/>
      <c r="BY34" s="5"/>
      <c r="BZ34" s="5"/>
      <c r="CA34" s="48">
        <f t="shared" si="13"/>
        <v>0</v>
      </c>
      <c r="CB34" s="5"/>
      <c r="CC34" s="5"/>
      <c r="CD34" s="5"/>
      <c r="CE34" s="5"/>
      <c r="CF34" s="5"/>
      <c r="CG34" s="48">
        <f t="shared" si="14"/>
        <v>0</v>
      </c>
    </row>
    <row r="35" spans="1:85" ht="16" x14ac:dyDescent="0.2">
      <c r="A35" s="7" t="s">
        <v>238</v>
      </c>
      <c r="B35" s="7">
        <v>1</v>
      </c>
      <c r="C35" s="14" t="s">
        <v>237</v>
      </c>
      <c r="D35" s="8">
        <v>1</v>
      </c>
      <c r="E35" s="7">
        <v>1</v>
      </c>
      <c r="F35" s="7">
        <v>1</v>
      </c>
      <c r="G35" s="59"/>
      <c r="H35" s="59"/>
      <c r="I35" s="30">
        <f t="shared" si="0"/>
        <v>60.759999999999991</v>
      </c>
      <c r="J35" s="33">
        <f t="shared" si="1"/>
        <v>86.8</v>
      </c>
      <c r="K35" s="33">
        <f t="shared" si="2"/>
        <v>86.8</v>
      </c>
      <c r="L35" s="57"/>
      <c r="M35" s="45">
        <v>1</v>
      </c>
      <c r="N35" s="7">
        <v>1</v>
      </c>
      <c r="O35" s="7">
        <v>1</v>
      </c>
      <c r="P35" s="7">
        <v>1</v>
      </c>
      <c r="Q35" s="7">
        <v>1</v>
      </c>
      <c r="R35" s="48">
        <f t="shared" si="3"/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48">
        <f t="shared" si="4"/>
        <v>1</v>
      </c>
      <c r="Y35" s="45">
        <v>1</v>
      </c>
      <c r="Z35" s="7">
        <v>1</v>
      </c>
      <c r="AA35" s="7">
        <v>1</v>
      </c>
      <c r="AB35" s="7">
        <v>1</v>
      </c>
      <c r="AC35" s="7">
        <v>1</v>
      </c>
      <c r="AD35" s="48">
        <f t="shared" si="5"/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48">
        <f t="shared" si="6"/>
        <v>1</v>
      </c>
      <c r="AK35" s="35">
        <v>1</v>
      </c>
      <c r="AL35" s="7">
        <v>1</v>
      </c>
      <c r="AM35" s="7">
        <v>1</v>
      </c>
      <c r="AN35" s="7">
        <v>1</v>
      </c>
      <c r="AO35" s="7">
        <v>1</v>
      </c>
      <c r="AP35" s="48">
        <f t="shared" si="7"/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48">
        <f t="shared" si="8"/>
        <v>1</v>
      </c>
      <c r="AW35" s="7">
        <v>0.5</v>
      </c>
      <c r="AX35" s="7">
        <v>0.2</v>
      </c>
      <c r="AY35" s="7">
        <v>0</v>
      </c>
      <c r="AZ35" s="7">
        <v>0</v>
      </c>
      <c r="BA35" s="7">
        <v>0</v>
      </c>
      <c r="BB35" s="48">
        <f t="shared" si="9"/>
        <v>0.13999999999999999</v>
      </c>
      <c r="BC35" s="7">
        <v>0.5</v>
      </c>
      <c r="BD35" s="7">
        <v>0.5</v>
      </c>
      <c r="BE35" s="7">
        <v>0</v>
      </c>
      <c r="BF35" s="7">
        <v>0</v>
      </c>
      <c r="BG35" s="7">
        <v>0</v>
      </c>
      <c r="BH35" s="48">
        <f t="shared" si="10"/>
        <v>0.2</v>
      </c>
      <c r="BI35" s="68"/>
      <c r="BJ35" s="7"/>
      <c r="BK35" s="7"/>
      <c r="BL35" s="7"/>
      <c r="BM35" s="7"/>
      <c r="BN35" s="7"/>
      <c r="BO35" s="48">
        <f t="shared" si="11"/>
        <v>0</v>
      </c>
      <c r="BP35" s="7"/>
      <c r="BQ35" s="7"/>
      <c r="BR35" s="7"/>
      <c r="BS35" s="7"/>
      <c r="BT35" s="7"/>
      <c r="BU35" s="48">
        <f t="shared" si="12"/>
        <v>0</v>
      </c>
      <c r="BV35" s="7"/>
      <c r="BW35" s="7"/>
      <c r="BX35" s="7"/>
      <c r="BY35" s="7"/>
      <c r="BZ35" s="7"/>
      <c r="CA35" s="48">
        <f t="shared" si="13"/>
        <v>0</v>
      </c>
      <c r="CB35" s="7"/>
      <c r="CC35" s="7"/>
      <c r="CD35" s="7"/>
      <c r="CE35" s="7"/>
      <c r="CF35" s="7"/>
      <c r="CG35" s="48">
        <f t="shared" si="14"/>
        <v>0</v>
      </c>
    </row>
    <row r="36" spans="1:85" ht="16" x14ac:dyDescent="0.2">
      <c r="A36" s="5" t="s">
        <v>236</v>
      </c>
      <c r="B36" s="5">
        <v>1</v>
      </c>
      <c r="C36" s="13" t="s">
        <v>235</v>
      </c>
      <c r="D36" s="6">
        <v>1</v>
      </c>
      <c r="E36" s="5"/>
      <c r="F36" s="5">
        <v>1</v>
      </c>
      <c r="G36" s="59"/>
      <c r="H36" s="59"/>
      <c r="I36" s="30">
        <f t="shared" si="0"/>
        <v>67.899999999999991</v>
      </c>
      <c r="J36" s="33">
        <f t="shared" si="1"/>
        <v>97</v>
      </c>
      <c r="K36" s="33">
        <f t="shared" si="2"/>
        <v>97</v>
      </c>
      <c r="L36" s="57"/>
      <c r="M36" s="44">
        <v>1</v>
      </c>
      <c r="N36" s="5">
        <v>0.8</v>
      </c>
      <c r="O36" s="5">
        <v>0.8</v>
      </c>
      <c r="P36" s="5">
        <v>0.8</v>
      </c>
      <c r="Q36" s="5">
        <v>0.8</v>
      </c>
      <c r="R36" s="48">
        <f t="shared" si="3"/>
        <v>0.84000000000000008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48">
        <f t="shared" si="4"/>
        <v>1</v>
      </c>
      <c r="Y36" s="44">
        <v>1</v>
      </c>
      <c r="Z36" s="5">
        <v>0.3</v>
      </c>
      <c r="AA36" s="5">
        <v>0.3</v>
      </c>
      <c r="AB36" s="5">
        <v>0.8</v>
      </c>
      <c r="AC36" s="5">
        <v>0.8</v>
      </c>
      <c r="AD36" s="48">
        <f t="shared" si="5"/>
        <v>0.64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48">
        <f t="shared" si="6"/>
        <v>1</v>
      </c>
      <c r="AK36" s="34">
        <v>1</v>
      </c>
      <c r="AL36" s="5">
        <v>1</v>
      </c>
      <c r="AM36" s="5">
        <v>1</v>
      </c>
      <c r="AN36" s="5">
        <v>1</v>
      </c>
      <c r="AO36" s="5">
        <v>1</v>
      </c>
      <c r="AP36" s="48">
        <f t="shared" si="7"/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48">
        <f t="shared" si="8"/>
        <v>1</v>
      </c>
      <c r="AW36" s="5">
        <v>0.5</v>
      </c>
      <c r="AX36" s="5">
        <v>1</v>
      </c>
      <c r="AY36" s="5">
        <v>0.5</v>
      </c>
      <c r="AZ36" s="5">
        <v>0.5</v>
      </c>
      <c r="BA36" s="5">
        <v>0.5</v>
      </c>
      <c r="BB36" s="48">
        <f t="shared" si="9"/>
        <v>0.6</v>
      </c>
      <c r="BC36" s="5">
        <v>0.5</v>
      </c>
      <c r="BD36" s="5">
        <v>1</v>
      </c>
      <c r="BE36" s="5">
        <v>0.5</v>
      </c>
      <c r="BF36" s="5">
        <v>0.5</v>
      </c>
      <c r="BG36" s="5">
        <v>0.5</v>
      </c>
      <c r="BH36" s="48">
        <f t="shared" si="10"/>
        <v>0.6</v>
      </c>
      <c r="BI36" s="68"/>
      <c r="BJ36" s="5">
        <v>0.5</v>
      </c>
      <c r="BK36" s="5">
        <v>11</v>
      </c>
      <c r="BL36" s="5">
        <v>0.5</v>
      </c>
      <c r="BM36" s="5">
        <v>0.5</v>
      </c>
      <c r="BN36" s="5">
        <v>0.5</v>
      </c>
      <c r="BO36" s="48">
        <f t="shared" si="11"/>
        <v>2.6</v>
      </c>
      <c r="BP36" s="5"/>
      <c r="BQ36" s="5"/>
      <c r="BR36" s="5"/>
      <c r="BS36" s="5"/>
      <c r="BT36" s="5"/>
      <c r="BU36" s="48">
        <f t="shared" si="12"/>
        <v>0</v>
      </c>
      <c r="BV36" s="5"/>
      <c r="BW36" s="5"/>
      <c r="BX36" s="5"/>
      <c r="BY36" s="5"/>
      <c r="BZ36" s="5"/>
      <c r="CA36" s="48">
        <f t="shared" si="13"/>
        <v>0</v>
      </c>
      <c r="CB36" s="5"/>
      <c r="CC36" s="5"/>
      <c r="CD36" s="5"/>
      <c r="CE36" s="5"/>
      <c r="CF36" s="5"/>
      <c r="CG36" s="48">
        <f t="shared" si="14"/>
        <v>0</v>
      </c>
    </row>
    <row r="37" spans="1:85" ht="16" x14ac:dyDescent="0.2">
      <c r="A37" s="7" t="s">
        <v>234</v>
      </c>
      <c r="B37" s="7">
        <v>1</v>
      </c>
      <c r="C37" s="14" t="s">
        <v>233</v>
      </c>
      <c r="D37" s="8"/>
      <c r="E37" s="7"/>
      <c r="F37" s="7">
        <v>1</v>
      </c>
      <c r="G37" s="59"/>
      <c r="H37" s="59"/>
      <c r="I37" s="30">
        <f t="shared" si="0"/>
        <v>55.719999999999992</v>
      </c>
      <c r="J37" s="33">
        <f t="shared" si="1"/>
        <v>79.599999999999994</v>
      </c>
      <c r="K37" s="33">
        <f t="shared" si="2"/>
        <v>79.599999999999994</v>
      </c>
      <c r="L37" s="57"/>
      <c r="M37" s="45">
        <v>1</v>
      </c>
      <c r="N37" s="7">
        <v>1</v>
      </c>
      <c r="O37" s="7">
        <v>1</v>
      </c>
      <c r="P37" s="7">
        <v>1</v>
      </c>
      <c r="Q37" s="7">
        <v>1</v>
      </c>
      <c r="R37" s="48">
        <f t="shared" si="3"/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48">
        <f t="shared" si="4"/>
        <v>1</v>
      </c>
      <c r="Y37" s="45">
        <v>1</v>
      </c>
      <c r="Z37" s="7">
        <v>0.8</v>
      </c>
      <c r="AA37" s="7">
        <v>0.8</v>
      </c>
      <c r="AB37" s="7">
        <v>0.8</v>
      </c>
      <c r="AC37" s="7">
        <v>0.8</v>
      </c>
      <c r="AD37" s="48">
        <f t="shared" si="5"/>
        <v>0.84000000000000008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48">
        <f t="shared" si="6"/>
        <v>1</v>
      </c>
      <c r="AK37" s="35">
        <v>1</v>
      </c>
      <c r="AL37" s="7">
        <v>1</v>
      </c>
      <c r="AM37" s="7">
        <v>1</v>
      </c>
      <c r="AN37" s="7">
        <v>1</v>
      </c>
      <c r="AO37" s="7">
        <v>1</v>
      </c>
      <c r="AP37" s="48">
        <f t="shared" si="7"/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48">
        <f t="shared" si="8"/>
        <v>1</v>
      </c>
      <c r="AW37" s="7">
        <v>0.25</v>
      </c>
      <c r="AX37" s="7">
        <v>0</v>
      </c>
      <c r="AY37" s="7">
        <v>0</v>
      </c>
      <c r="AZ37" s="7">
        <v>0</v>
      </c>
      <c r="BA37" s="7">
        <v>0</v>
      </c>
      <c r="BB37" s="48">
        <f t="shared" si="9"/>
        <v>0.05</v>
      </c>
      <c r="BC37" s="7">
        <v>0.25</v>
      </c>
      <c r="BD37" s="7">
        <v>0</v>
      </c>
      <c r="BE37" s="7">
        <v>0</v>
      </c>
      <c r="BF37" s="7">
        <v>0</v>
      </c>
      <c r="BG37" s="7">
        <v>0</v>
      </c>
      <c r="BH37" s="48">
        <f t="shared" si="10"/>
        <v>0.05</v>
      </c>
      <c r="BI37" s="68"/>
      <c r="BJ37" s="7"/>
      <c r="BK37" s="7"/>
      <c r="BL37" s="7"/>
      <c r="BM37" s="7"/>
      <c r="BN37" s="7"/>
      <c r="BO37" s="48">
        <f t="shared" si="11"/>
        <v>0</v>
      </c>
      <c r="BP37" s="7"/>
      <c r="BQ37" s="7"/>
      <c r="BR37" s="7"/>
      <c r="BS37" s="7"/>
      <c r="BT37" s="7"/>
      <c r="BU37" s="48">
        <f t="shared" si="12"/>
        <v>0</v>
      </c>
      <c r="BV37" s="7"/>
      <c r="BW37" s="7"/>
      <c r="BX37" s="7"/>
      <c r="BY37" s="7"/>
      <c r="BZ37" s="7"/>
      <c r="CA37" s="48">
        <f t="shared" si="13"/>
        <v>0</v>
      </c>
      <c r="CB37" s="7"/>
      <c r="CC37" s="7"/>
      <c r="CD37" s="7"/>
      <c r="CE37" s="7"/>
      <c r="CF37" s="7"/>
      <c r="CG37" s="48">
        <f t="shared" si="14"/>
        <v>0</v>
      </c>
    </row>
    <row r="38" spans="1:85" ht="16" x14ac:dyDescent="0.2">
      <c r="A38" s="5" t="s">
        <v>232</v>
      </c>
      <c r="B38" s="5">
        <v>1</v>
      </c>
      <c r="C38" s="13" t="s">
        <v>231</v>
      </c>
      <c r="D38" s="6">
        <v>1</v>
      </c>
      <c r="E38" s="5"/>
      <c r="F38" s="5">
        <v>1</v>
      </c>
      <c r="G38" s="59"/>
      <c r="H38" s="59"/>
      <c r="I38" s="30">
        <f t="shared" si="0"/>
        <v>66.5</v>
      </c>
      <c r="J38" s="33">
        <f t="shared" si="1"/>
        <v>95</v>
      </c>
      <c r="K38" s="33">
        <f t="shared" si="2"/>
        <v>95</v>
      </c>
      <c r="L38" s="57">
        <v>15</v>
      </c>
      <c r="M38" s="44">
        <v>1</v>
      </c>
      <c r="N38" s="5">
        <v>1</v>
      </c>
      <c r="O38" s="5">
        <v>1</v>
      </c>
      <c r="P38" s="5">
        <v>1</v>
      </c>
      <c r="Q38" s="5">
        <v>1</v>
      </c>
      <c r="R38" s="48">
        <f t="shared" si="3"/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48">
        <f t="shared" si="4"/>
        <v>1</v>
      </c>
      <c r="Y38" s="44">
        <v>1</v>
      </c>
      <c r="Z38" s="5">
        <v>1</v>
      </c>
      <c r="AA38" s="5">
        <v>1</v>
      </c>
      <c r="AB38" s="5">
        <v>1</v>
      </c>
      <c r="AC38" s="5">
        <v>1</v>
      </c>
      <c r="AD38" s="48">
        <f t="shared" si="5"/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48">
        <f t="shared" si="6"/>
        <v>1</v>
      </c>
      <c r="AK38" s="34">
        <v>1</v>
      </c>
      <c r="AL38" s="5">
        <v>1</v>
      </c>
      <c r="AM38" s="5">
        <v>1</v>
      </c>
      <c r="AN38" s="5">
        <v>1</v>
      </c>
      <c r="AO38" s="5">
        <v>1</v>
      </c>
      <c r="AP38" s="48">
        <f t="shared" si="7"/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48">
        <f t="shared" si="8"/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48">
        <f t="shared" si="9"/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48">
        <f t="shared" si="10"/>
        <v>0</v>
      </c>
      <c r="BI38" s="68"/>
      <c r="BJ38" s="5"/>
      <c r="BK38" s="5"/>
      <c r="BL38" s="5"/>
      <c r="BM38" s="5"/>
      <c r="BN38" s="5"/>
      <c r="BO38" s="48">
        <f t="shared" si="11"/>
        <v>0</v>
      </c>
      <c r="BP38" s="5"/>
      <c r="BQ38" s="5"/>
      <c r="BR38" s="5"/>
      <c r="BS38" s="5"/>
      <c r="BT38" s="5"/>
      <c r="BU38" s="48">
        <f t="shared" si="12"/>
        <v>0</v>
      </c>
      <c r="BV38" s="5"/>
      <c r="BW38" s="5"/>
      <c r="BX38" s="5"/>
      <c r="BY38" s="5"/>
      <c r="BZ38" s="5"/>
      <c r="CA38" s="48">
        <f t="shared" si="13"/>
        <v>0</v>
      </c>
      <c r="CB38" s="5"/>
      <c r="CC38" s="5"/>
      <c r="CD38" s="5"/>
      <c r="CE38" s="5"/>
      <c r="CF38" s="5"/>
      <c r="CG38" s="48">
        <f t="shared" si="14"/>
        <v>0</v>
      </c>
    </row>
    <row r="39" spans="1:85" ht="16" x14ac:dyDescent="0.2">
      <c r="A39" s="7" t="s">
        <v>230</v>
      </c>
      <c r="B39" s="7">
        <v>1</v>
      </c>
      <c r="C39" s="14" t="s">
        <v>229</v>
      </c>
      <c r="D39" s="8">
        <v>1</v>
      </c>
      <c r="E39" s="7"/>
      <c r="F39" s="7">
        <v>1</v>
      </c>
      <c r="G39" s="59"/>
      <c r="H39" s="59"/>
      <c r="I39" s="30">
        <f t="shared" si="0"/>
        <v>38.674999999999997</v>
      </c>
      <c r="J39" s="33">
        <f t="shared" si="1"/>
        <v>55.25</v>
      </c>
      <c r="K39" s="33">
        <f t="shared" si="2"/>
        <v>55.25</v>
      </c>
      <c r="L39" s="57"/>
      <c r="M39" s="45">
        <v>1</v>
      </c>
      <c r="N39" s="7">
        <v>1</v>
      </c>
      <c r="O39" s="7">
        <v>1</v>
      </c>
      <c r="P39" s="7">
        <v>1</v>
      </c>
      <c r="Q39" s="7">
        <v>1</v>
      </c>
      <c r="R39" s="48">
        <f t="shared" si="3"/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48">
        <f t="shared" si="4"/>
        <v>1</v>
      </c>
      <c r="Y39" s="45">
        <v>1</v>
      </c>
      <c r="Z39" s="7">
        <v>1</v>
      </c>
      <c r="AA39" s="7">
        <v>1</v>
      </c>
      <c r="AB39" s="7">
        <v>0</v>
      </c>
      <c r="AC39" s="7">
        <v>1</v>
      </c>
      <c r="AD39" s="48">
        <f t="shared" si="5"/>
        <v>0.8</v>
      </c>
      <c r="AE39" s="7">
        <v>0.75</v>
      </c>
      <c r="AF39" s="7">
        <v>0.75</v>
      </c>
      <c r="AG39" s="7">
        <v>0.75</v>
      </c>
      <c r="AH39" s="7">
        <v>0.25</v>
      </c>
      <c r="AI39" s="7">
        <v>0.25</v>
      </c>
      <c r="AJ39" s="48">
        <f t="shared" si="6"/>
        <v>0.55000000000000004</v>
      </c>
      <c r="AK39" s="35">
        <v>0</v>
      </c>
      <c r="AL39" s="7">
        <v>0</v>
      </c>
      <c r="AM39" s="7">
        <v>0</v>
      </c>
      <c r="AN39" s="7">
        <v>0</v>
      </c>
      <c r="AO39" s="7">
        <v>0</v>
      </c>
      <c r="AP39" s="48">
        <f t="shared" si="7"/>
        <v>0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48">
        <f t="shared" si="8"/>
        <v>1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48">
        <f t="shared" si="9"/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48">
        <f t="shared" si="10"/>
        <v>0</v>
      </c>
      <c r="BI39" s="68"/>
      <c r="BJ39" s="7"/>
      <c r="BK39" s="7"/>
      <c r="BL39" s="7"/>
      <c r="BM39" s="7"/>
      <c r="BN39" s="7"/>
      <c r="BO39" s="48">
        <f t="shared" si="11"/>
        <v>0</v>
      </c>
      <c r="BP39" s="7"/>
      <c r="BQ39" s="7"/>
      <c r="BR39" s="7"/>
      <c r="BS39" s="7"/>
      <c r="BT39" s="7"/>
      <c r="BU39" s="48">
        <f t="shared" si="12"/>
        <v>0</v>
      </c>
      <c r="BV39" s="7"/>
      <c r="BW39" s="7"/>
      <c r="BX39" s="7"/>
      <c r="BY39" s="7"/>
      <c r="BZ39" s="7"/>
      <c r="CA39" s="48">
        <f t="shared" si="13"/>
        <v>0</v>
      </c>
      <c r="CB39" s="7"/>
      <c r="CC39" s="7"/>
      <c r="CD39" s="7"/>
      <c r="CE39" s="7"/>
      <c r="CF39" s="7"/>
      <c r="CG39" s="48">
        <f t="shared" si="14"/>
        <v>0</v>
      </c>
    </row>
    <row r="40" spans="1:85" ht="17" thickBot="1" x14ac:dyDescent="0.25">
      <c r="A40" s="5" t="s">
        <v>228</v>
      </c>
      <c r="B40" s="5">
        <v>1</v>
      </c>
      <c r="C40" s="13" t="s">
        <v>227</v>
      </c>
      <c r="D40" s="6">
        <v>1</v>
      </c>
      <c r="E40" s="5"/>
      <c r="F40" s="5">
        <v>1</v>
      </c>
      <c r="G40" s="59"/>
      <c r="H40" s="59"/>
      <c r="I40" s="30">
        <f t="shared" si="0"/>
        <v>70</v>
      </c>
      <c r="J40" s="33">
        <f t="shared" si="1"/>
        <v>100</v>
      </c>
      <c r="K40" s="33">
        <f t="shared" si="2"/>
        <v>100</v>
      </c>
      <c r="L40" s="58"/>
      <c r="M40" s="46">
        <v>1</v>
      </c>
      <c r="N40" s="47">
        <v>1</v>
      </c>
      <c r="O40" s="47">
        <v>1</v>
      </c>
      <c r="P40" s="47">
        <v>1</v>
      </c>
      <c r="Q40" s="47">
        <v>1</v>
      </c>
      <c r="R40" s="48">
        <f t="shared" si="3"/>
        <v>1</v>
      </c>
      <c r="S40" s="47">
        <v>1</v>
      </c>
      <c r="T40" s="47">
        <v>1</v>
      </c>
      <c r="U40" s="47">
        <v>1</v>
      </c>
      <c r="V40" s="47">
        <v>1</v>
      </c>
      <c r="W40" s="47">
        <v>1</v>
      </c>
      <c r="X40" s="48">
        <f t="shared" si="4"/>
        <v>1</v>
      </c>
      <c r="Y40" s="46">
        <v>1</v>
      </c>
      <c r="Z40" s="47">
        <v>1</v>
      </c>
      <c r="AA40" s="47">
        <v>1</v>
      </c>
      <c r="AB40" s="47">
        <v>1</v>
      </c>
      <c r="AC40" s="47">
        <v>1</v>
      </c>
      <c r="AD40" s="48">
        <f t="shared" si="5"/>
        <v>1</v>
      </c>
      <c r="AE40" s="47">
        <v>1</v>
      </c>
      <c r="AF40" s="47">
        <v>1</v>
      </c>
      <c r="AG40" s="47">
        <v>1</v>
      </c>
      <c r="AH40" s="47">
        <v>1</v>
      </c>
      <c r="AI40" s="47">
        <v>1</v>
      </c>
      <c r="AJ40" s="48">
        <f t="shared" si="6"/>
        <v>1</v>
      </c>
      <c r="AK40" s="34">
        <v>1</v>
      </c>
      <c r="AL40" s="5">
        <v>1</v>
      </c>
      <c r="AM40" s="5">
        <v>1</v>
      </c>
      <c r="AN40" s="5">
        <v>1</v>
      </c>
      <c r="AO40" s="5">
        <v>1</v>
      </c>
      <c r="AP40" s="48">
        <f t="shared" si="7"/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48">
        <f t="shared" si="8"/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48">
        <f t="shared" si="9"/>
        <v>1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48">
        <f t="shared" si="10"/>
        <v>0</v>
      </c>
      <c r="BI40" s="69"/>
      <c r="BJ40" s="5"/>
      <c r="BK40" s="5"/>
      <c r="BL40" s="5"/>
      <c r="BM40" s="5"/>
      <c r="BN40" s="5"/>
      <c r="BO40" s="48">
        <f t="shared" si="11"/>
        <v>0</v>
      </c>
      <c r="BP40" s="5"/>
      <c r="BQ40" s="5"/>
      <c r="BR40" s="5"/>
      <c r="BS40" s="5"/>
      <c r="BT40" s="5"/>
      <c r="BU40" s="48">
        <f t="shared" si="12"/>
        <v>0</v>
      </c>
      <c r="BV40" s="5"/>
      <c r="BW40" s="5"/>
      <c r="BX40" s="5"/>
      <c r="BY40" s="5"/>
      <c r="BZ40" s="5"/>
      <c r="CA40" s="48">
        <f t="shared" si="13"/>
        <v>0</v>
      </c>
      <c r="CB40" s="5"/>
      <c r="CC40" s="5"/>
      <c r="CD40" s="5"/>
      <c r="CE40" s="5"/>
      <c r="CF40" s="5"/>
      <c r="CG40" s="48">
        <f t="shared" si="14"/>
        <v>0</v>
      </c>
    </row>
    <row r="41" spans="1:85" ht="16" x14ac:dyDescent="0.2">
      <c r="C41" s="14" t="s">
        <v>850</v>
      </c>
      <c r="F41" s="4">
        <v>1</v>
      </c>
      <c r="G41" s="59"/>
      <c r="H41" s="59"/>
      <c r="I41" s="30">
        <f t="shared" si="0"/>
        <v>14</v>
      </c>
      <c r="J41" s="33">
        <f t="shared" si="1"/>
        <v>20</v>
      </c>
      <c r="K41" s="33">
        <f t="shared" ref="K41" si="15">R41*10+X41*10+AD41*15+AJ41*15+AP41*15+AV41*15+BB41*20+BH41*20+L41</f>
        <v>20</v>
      </c>
      <c r="L41" s="58"/>
      <c r="M41" s="45">
        <v>1</v>
      </c>
      <c r="N41" s="7">
        <v>1</v>
      </c>
      <c r="O41" s="7">
        <v>1</v>
      </c>
      <c r="P41" s="7">
        <v>1</v>
      </c>
      <c r="Q41" s="7">
        <v>1</v>
      </c>
      <c r="R41" s="48">
        <f t="shared" ref="R41" si="16">AVERAGE(M41:Q41)</f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48">
        <f t="shared" ref="X41" si="17">AVERAGE(S41:W41)</f>
        <v>1</v>
      </c>
      <c r="Y41" s="45">
        <v>0</v>
      </c>
      <c r="Z41" s="7">
        <v>0</v>
      </c>
      <c r="AA41" s="7">
        <v>0</v>
      </c>
      <c r="AB41" s="7">
        <v>0</v>
      </c>
      <c r="AC41" s="7">
        <v>0</v>
      </c>
      <c r="AD41" s="48">
        <f t="shared" ref="AD41" si="18">AVERAGE(Y41:AC41)</f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48">
        <f t="shared" ref="AJ41" si="19">AVERAGE(AE41:AI41)</f>
        <v>0</v>
      </c>
      <c r="AK41" s="35">
        <v>0</v>
      </c>
      <c r="AL41" s="7">
        <v>0</v>
      </c>
      <c r="AM41" s="7">
        <v>0</v>
      </c>
      <c r="AN41" s="7">
        <v>0</v>
      </c>
      <c r="AO41" s="7">
        <v>0</v>
      </c>
      <c r="AP41" s="48">
        <f t="shared" ref="AP41" si="20">AVERAGE(AK41:AO41)</f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48">
        <f t="shared" ref="AV41" si="21">AVERAGE(AQ41:AU41)</f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48">
        <f t="shared" ref="BB41" si="22">AVERAGE(AW41:BA41)</f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48">
        <f t="shared" ref="BH41" si="23">AVERAGE(BC41:BG41)</f>
        <v>0</v>
      </c>
      <c r="BJ41" s="7"/>
      <c r="BK41" s="7"/>
      <c r="BL41" s="7"/>
      <c r="BM41" s="7"/>
      <c r="BN41" s="7"/>
      <c r="BO41" s="48">
        <f t="shared" ref="BO41" si="24">SUM(BJ41:BN41)/5</f>
        <v>0</v>
      </c>
      <c r="BP41" s="7"/>
      <c r="BQ41" s="7"/>
      <c r="BR41" s="7"/>
      <c r="BS41" s="7"/>
      <c r="BT41" s="7"/>
      <c r="BU41" s="48">
        <f t="shared" ref="BU41" si="25">SUM(BP41:BT41)/5</f>
        <v>0</v>
      </c>
      <c r="BV41" s="7"/>
      <c r="BW41" s="7"/>
      <c r="BX41" s="7"/>
      <c r="BY41" s="7"/>
      <c r="BZ41" s="7"/>
      <c r="CA41" s="48">
        <f t="shared" ref="CA41" si="26">SUM(BV41:BZ41)/5</f>
        <v>0</v>
      </c>
      <c r="CB41" s="7"/>
      <c r="CC41" s="7"/>
      <c r="CD41" s="7"/>
      <c r="CE41" s="7"/>
      <c r="CF41" s="7"/>
      <c r="CG41" s="48">
        <f t="shared" ref="CG41" si="27">SUM(CB41:CF41)/5</f>
        <v>0</v>
      </c>
    </row>
  </sheetData>
  <mergeCells count="16">
    <mergeCell ref="CB2:CG2"/>
    <mergeCell ref="K2:K3"/>
    <mergeCell ref="BI1:BI3"/>
    <mergeCell ref="BI4:BI40"/>
    <mergeCell ref="AQ2:AV2"/>
    <mergeCell ref="AW2:BB2"/>
    <mergeCell ref="BC2:BH2"/>
    <mergeCell ref="BJ2:BO2"/>
    <mergeCell ref="BP2:BU2"/>
    <mergeCell ref="BV2:CA2"/>
    <mergeCell ref="M1:O1"/>
    <mergeCell ref="M2:R2"/>
    <mergeCell ref="S2:X2"/>
    <mergeCell ref="Y2:AD2"/>
    <mergeCell ref="AE2:AJ2"/>
    <mergeCell ref="AK2:AP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1:AN36"/>
  <sheetViews>
    <sheetView zoomScale="184" workbookViewId="0">
      <pane ySplit="2" topLeftCell="A3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33203125" style="15" bestFit="1" customWidth="1"/>
    <col min="4" max="4" width="8.33203125" style="4" bestFit="1" customWidth="1"/>
    <col min="5" max="5" width="6" style="4" bestFit="1" customWidth="1"/>
    <col min="6" max="16384" width="8.83203125" style="4"/>
  </cols>
  <sheetData>
    <row r="1" spans="1:40" x14ac:dyDescent="0.2">
      <c r="C1" s="15" t="s">
        <v>226</v>
      </c>
    </row>
    <row r="2" spans="1:40" ht="32" x14ac:dyDescent="0.2">
      <c r="A2" s="9" t="s">
        <v>5</v>
      </c>
      <c r="B2" s="9" t="s">
        <v>6</v>
      </c>
      <c r="C2" s="12" t="s">
        <v>7</v>
      </c>
      <c r="D2" s="9" t="s">
        <v>8</v>
      </c>
      <c r="E2" s="18" t="s">
        <v>841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40" x14ac:dyDescent="0.2">
      <c r="A3" s="5" t="s">
        <v>225</v>
      </c>
      <c r="B3" s="5">
        <v>1</v>
      </c>
      <c r="C3" s="13" t="s">
        <v>224</v>
      </c>
      <c r="D3" s="5" t="s">
        <v>76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7" t="s">
        <v>223</v>
      </c>
      <c r="B4" s="7">
        <v>1</v>
      </c>
      <c r="C4" s="14" t="s">
        <v>222</v>
      </c>
      <c r="D4" s="7" t="s">
        <v>175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x14ac:dyDescent="0.2">
      <c r="A5" s="5" t="s">
        <v>221</v>
      </c>
      <c r="B5" s="5">
        <v>1</v>
      </c>
      <c r="C5" s="13" t="s">
        <v>220</v>
      </c>
      <c r="D5" s="5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7" t="s">
        <v>219</v>
      </c>
      <c r="B6" s="7">
        <v>1</v>
      </c>
      <c r="C6" s="14" t="s">
        <v>218</v>
      </c>
      <c r="D6" s="7" t="s">
        <v>165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x14ac:dyDescent="0.2">
      <c r="A7" s="5" t="s">
        <v>217</v>
      </c>
      <c r="B7" s="5">
        <v>1</v>
      </c>
      <c r="C7" s="13" t="s">
        <v>216</v>
      </c>
      <c r="D7" s="5" t="s">
        <v>76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7" t="s">
        <v>215</v>
      </c>
      <c r="B8" s="7">
        <v>1</v>
      </c>
      <c r="C8" s="14" t="s">
        <v>214</v>
      </c>
      <c r="D8" s="7" t="s">
        <v>165</v>
      </c>
      <c r="E8" s="7">
        <v>0.1</v>
      </c>
      <c r="F8" s="7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x14ac:dyDescent="0.2">
      <c r="A9" s="5" t="s">
        <v>213</v>
      </c>
      <c r="B9" s="5">
        <v>1</v>
      </c>
      <c r="C9" s="13" t="s">
        <v>212</v>
      </c>
      <c r="D9" s="5" t="s">
        <v>76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7" t="s">
        <v>211</v>
      </c>
      <c r="B10" s="7">
        <v>1</v>
      </c>
      <c r="C10" s="14" t="s">
        <v>210</v>
      </c>
      <c r="D10" s="7" t="s">
        <v>155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x14ac:dyDescent="0.2">
      <c r="A11" s="5" t="s">
        <v>209</v>
      </c>
      <c r="B11" s="5">
        <v>1</v>
      </c>
      <c r="C11" s="13" t="s">
        <v>208</v>
      </c>
      <c r="D11" s="5" t="s">
        <v>172</v>
      </c>
      <c r="E11" s="5">
        <v>1</v>
      </c>
      <c r="F11" s="5"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7" t="s">
        <v>207</v>
      </c>
      <c r="B12" s="7">
        <v>1</v>
      </c>
      <c r="C12" s="14" t="s">
        <v>206</v>
      </c>
      <c r="D12" s="7" t="s">
        <v>158</v>
      </c>
      <c r="E12" s="7">
        <v>0.75</v>
      </c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x14ac:dyDescent="0.2">
      <c r="A13" s="5" t="s">
        <v>205</v>
      </c>
      <c r="B13" s="5">
        <v>1</v>
      </c>
      <c r="C13" s="13" t="s">
        <v>204</v>
      </c>
      <c r="D13" s="5" t="s">
        <v>172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7" t="s">
        <v>203</v>
      </c>
      <c r="B14" s="7">
        <v>1</v>
      </c>
      <c r="C14" s="14" t="s">
        <v>202</v>
      </c>
      <c r="D14" s="7" t="s">
        <v>76</v>
      </c>
      <c r="E14" s="7">
        <v>1</v>
      </c>
      <c r="F14" s="7">
        <v>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x14ac:dyDescent="0.2">
      <c r="A15" s="5" t="s">
        <v>201</v>
      </c>
      <c r="B15" s="5">
        <v>1</v>
      </c>
      <c r="C15" s="13" t="s">
        <v>200</v>
      </c>
      <c r="D15" s="5" t="s">
        <v>76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7" t="s">
        <v>199</v>
      </c>
      <c r="B16" s="7">
        <v>1</v>
      </c>
      <c r="C16" s="14" t="s">
        <v>198</v>
      </c>
      <c r="D16" s="7" t="s">
        <v>172</v>
      </c>
      <c r="E16" s="7">
        <v>1</v>
      </c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2">
      <c r="A17" s="5" t="s">
        <v>197</v>
      </c>
      <c r="B17" s="17" t="s">
        <v>196</v>
      </c>
      <c r="C17" s="13" t="s">
        <v>195</v>
      </c>
      <c r="D17" s="5" t="s">
        <v>172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7" t="s">
        <v>194</v>
      </c>
      <c r="B18" s="7">
        <v>1</v>
      </c>
      <c r="C18" s="14" t="s">
        <v>193</v>
      </c>
      <c r="D18" s="7" t="s">
        <v>192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2">
      <c r="A19" s="5" t="s">
        <v>191</v>
      </c>
      <c r="B19" s="5">
        <v>1</v>
      </c>
      <c r="C19" s="13" t="s">
        <v>190</v>
      </c>
      <c r="D19" s="5" t="s">
        <v>165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7" t="s">
        <v>189</v>
      </c>
      <c r="B20" s="7">
        <v>1</v>
      </c>
      <c r="C20" s="14" t="s">
        <v>188</v>
      </c>
      <c r="D20" s="7" t="s">
        <v>76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x14ac:dyDescent="0.2">
      <c r="A21" s="5" t="s">
        <v>187</v>
      </c>
      <c r="B21" s="5">
        <v>1</v>
      </c>
      <c r="C21" s="13" t="s">
        <v>186</v>
      </c>
      <c r="D21" s="5" t="s">
        <v>13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7" t="s">
        <v>185</v>
      </c>
      <c r="B22" s="7">
        <v>1</v>
      </c>
      <c r="C22" s="14" t="s">
        <v>184</v>
      </c>
      <c r="D22" s="7" t="s">
        <v>76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2">
      <c r="A23" s="5" t="s">
        <v>183</v>
      </c>
      <c r="B23" s="5">
        <v>1</v>
      </c>
      <c r="C23" s="13" t="s">
        <v>182</v>
      </c>
      <c r="D23" s="5" t="s">
        <v>13</v>
      </c>
      <c r="E23" s="5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7" t="s">
        <v>181</v>
      </c>
      <c r="B24" s="7">
        <v>1</v>
      </c>
      <c r="C24" s="14" t="s">
        <v>180</v>
      </c>
      <c r="D24" s="7" t="s">
        <v>76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">
      <c r="A25" s="5" t="s">
        <v>179</v>
      </c>
      <c r="B25" s="5">
        <v>1</v>
      </c>
      <c r="C25" s="13" t="s">
        <v>178</v>
      </c>
      <c r="D25" s="5" t="s">
        <v>76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7" t="s">
        <v>177</v>
      </c>
      <c r="B26" s="7">
        <v>1</v>
      </c>
      <c r="C26" s="14" t="s">
        <v>176</v>
      </c>
      <c r="D26" s="7" t="s">
        <v>175</v>
      </c>
      <c r="E26" s="7">
        <v>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x14ac:dyDescent="0.2">
      <c r="A27" s="5" t="s">
        <v>174</v>
      </c>
      <c r="B27" s="5">
        <v>1</v>
      </c>
      <c r="C27" s="13" t="s">
        <v>173</v>
      </c>
      <c r="D27" s="5" t="s">
        <v>172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7" t="s">
        <v>171</v>
      </c>
      <c r="B28" s="7">
        <v>1</v>
      </c>
      <c r="C28" s="14" t="s">
        <v>170</v>
      </c>
      <c r="D28" s="7" t="s">
        <v>158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">
      <c r="A29" s="5" t="s">
        <v>169</v>
      </c>
      <c r="B29" s="5">
        <v>1</v>
      </c>
      <c r="C29" s="13" t="s">
        <v>168</v>
      </c>
      <c r="D29" s="5" t="s">
        <v>165</v>
      </c>
      <c r="E29" s="5">
        <v>1</v>
      </c>
      <c r="F29" s="5"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x14ac:dyDescent="0.2">
      <c r="A30" s="7" t="s">
        <v>167</v>
      </c>
      <c r="B30" s="7">
        <v>1</v>
      </c>
      <c r="C30" s="14" t="s">
        <v>166</v>
      </c>
      <c r="D30" s="7" t="s">
        <v>165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x14ac:dyDescent="0.2">
      <c r="A31" s="5" t="s">
        <v>164</v>
      </c>
      <c r="B31" s="5">
        <v>1</v>
      </c>
      <c r="C31" s="13" t="s">
        <v>163</v>
      </c>
      <c r="D31" s="5" t="s">
        <v>158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7" t="s">
        <v>162</v>
      </c>
      <c r="B32" s="7">
        <v>1</v>
      </c>
      <c r="C32" s="14" t="s">
        <v>161</v>
      </c>
      <c r="D32" s="7" t="s">
        <v>76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x14ac:dyDescent="0.2">
      <c r="A33" s="5" t="s">
        <v>160</v>
      </c>
      <c r="B33" s="5">
        <v>1</v>
      </c>
      <c r="C33" s="13" t="s">
        <v>159</v>
      </c>
      <c r="D33" s="5" t="s">
        <v>158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7" t="s">
        <v>157</v>
      </c>
      <c r="B34" s="16" t="s">
        <v>6</v>
      </c>
      <c r="C34" s="14" t="s">
        <v>156</v>
      </c>
      <c r="D34" s="7" t="s">
        <v>155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x14ac:dyDescent="0.2">
      <c r="A35" s="5" t="s">
        <v>154</v>
      </c>
      <c r="B35" s="5">
        <v>1</v>
      </c>
      <c r="C35" s="13" t="s">
        <v>153</v>
      </c>
      <c r="D35" s="5" t="s">
        <v>76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7" t="s">
        <v>152</v>
      </c>
      <c r="B36" s="7">
        <v>1</v>
      </c>
      <c r="C36" s="14" t="s">
        <v>151</v>
      </c>
      <c r="D36" s="7" t="s">
        <v>76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2:AP44"/>
  <sheetViews>
    <sheetView zoomScale="173" workbookViewId="0">
      <pane ySplit="9" topLeftCell="A26" activePane="bottomLeft" state="frozen"/>
      <selection pane="bottomLeft" activeCell="L37" sqref="L37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2.33203125" style="4" bestFit="1" customWidth="1"/>
    <col min="4" max="4" width="11.5" style="4" bestFit="1" customWidth="1"/>
    <col min="5" max="5" width="37.5" style="4" hidden="1" customWidth="1"/>
    <col min="6" max="6" width="43.5" style="4" hidden="1" customWidth="1"/>
    <col min="7" max="16384" width="8.83203125" style="4"/>
  </cols>
  <sheetData>
    <row r="2" spans="1:42" ht="19" x14ac:dyDescent="0.25">
      <c r="E2" s="87" t="s">
        <v>1</v>
      </c>
      <c r="F2" s="86"/>
      <c r="G2" s="86"/>
      <c r="H2" s="86"/>
      <c r="I2" s="86"/>
    </row>
    <row r="4" spans="1:42" x14ac:dyDescent="0.2">
      <c r="E4" s="88" t="s">
        <v>226</v>
      </c>
      <c r="F4" s="86"/>
      <c r="G4" s="86"/>
      <c r="H4" s="86"/>
      <c r="I4" s="86"/>
    </row>
    <row r="5" spans="1:42" x14ac:dyDescent="0.2">
      <c r="E5" s="88" t="s">
        <v>735</v>
      </c>
      <c r="F5" s="86"/>
      <c r="G5" s="86"/>
      <c r="H5" s="86"/>
      <c r="I5" s="86"/>
    </row>
    <row r="6" spans="1:42" x14ac:dyDescent="0.2">
      <c r="E6" s="88" t="s">
        <v>3</v>
      </c>
      <c r="F6" s="86"/>
      <c r="G6" s="86"/>
      <c r="H6" s="86"/>
      <c r="I6" s="86"/>
    </row>
    <row r="7" spans="1:42" x14ac:dyDescent="0.2">
      <c r="B7" s="86" t="s">
        <v>0</v>
      </c>
      <c r="C7" s="86"/>
      <c r="D7" s="86"/>
      <c r="E7" s="88" t="s">
        <v>4</v>
      </c>
      <c r="F7" s="86"/>
      <c r="G7" s="86"/>
      <c r="H7" s="86"/>
      <c r="I7" s="86"/>
    </row>
    <row r="9" spans="1:42" x14ac:dyDescent="0.2">
      <c r="A9" s="9" t="s">
        <v>5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9">
        <v>24</v>
      </c>
      <c r="H9" s="9">
        <v>25</v>
      </c>
      <c r="I9" s="9">
        <v>26</v>
      </c>
      <c r="J9" s="9">
        <v>27</v>
      </c>
      <c r="K9" s="9">
        <v>28</v>
      </c>
      <c r="L9" s="9">
        <v>31</v>
      </c>
      <c r="M9" s="9">
        <v>1</v>
      </c>
      <c r="N9" s="9">
        <v>2</v>
      </c>
      <c r="O9" s="9">
        <v>3</v>
      </c>
      <c r="P9" s="9">
        <v>4</v>
      </c>
      <c r="Q9" s="9">
        <v>7</v>
      </c>
      <c r="R9" s="9">
        <v>8</v>
      </c>
      <c r="S9" s="9">
        <v>9</v>
      </c>
      <c r="T9" s="9">
        <v>10</v>
      </c>
      <c r="U9" s="9">
        <v>11</v>
      </c>
      <c r="V9" s="9">
        <v>14</v>
      </c>
      <c r="W9" s="9">
        <v>15</v>
      </c>
      <c r="X9" s="9">
        <v>16</v>
      </c>
      <c r="Y9" s="9">
        <v>17</v>
      </c>
      <c r="Z9" s="9">
        <v>18</v>
      </c>
      <c r="AA9" s="9">
        <v>21</v>
      </c>
      <c r="AB9" s="9">
        <v>22</v>
      </c>
      <c r="AC9" s="9">
        <v>23</v>
      </c>
      <c r="AD9" s="9">
        <v>24</v>
      </c>
      <c r="AE9" s="9">
        <v>25</v>
      </c>
      <c r="AF9" s="9">
        <v>28</v>
      </c>
      <c r="AG9" s="9">
        <v>29</v>
      </c>
      <c r="AH9" s="9">
        <v>30</v>
      </c>
    </row>
    <row r="10" spans="1:42" x14ac:dyDescent="0.2">
      <c r="A10" s="5" t="s">
        <v>734</v>
      </c>
      <c r="B10" s="5">
        <v>1</v>
      </c>
      <c r="C10" s="6" t="s">
        <v>733</v>
      </c>
      <c r="D10" s="5" t="s">
        <v>155</v>
      </c>
      <c r="E10" s="6" t="s">
        <v>732</v>
      </c>
      <c r="F10" s="5" t="s">
        <v>731</v>
      </c>
      <c r="G10" s="77"/>
      <c r="H10" s="78"/>
      <c r="I10" s="79"/>
      <c r="J10" s="5"/>
      <c r="K10" s="5"/>
      <c r="L10" s="10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x14ac:dyDescent="0.2">
      <c r="A11" s="7" t="s">
        <v>730</v>
      </c>
      <c r="B11" s="7">
        <v>1</v>
      </c>
      <c r="C11" s="8" t="s">
        <v>729</v>
      </c>
      <c r="D11" s="7" t="s">
        <v>165</v>
      </c>
      <c r="E11" s="8" t="s">
        <v>728</v>
      </c>
      <c r="F11" s="7" t="s">
        <v>727</v>
      </c>
      <c r="G11" s="80"/>
      <c r="H11" s="81"/>
      <c r="I11" s="82"/>
      <c r="J11" s="7"/>
      <c r="K11" s="7">
        <v>1</v>
      </c>
      <c r="L11" s="11">
        <v>1</v>
      </c>
      <c r="M11" s="7">
        <v>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">
      <c r="A12" s="5" t="s">
        <v>726</v>
      </c>
      <c r="B12" s="5">
        <v>1</v>
      </c>
      <c r="C12" s="6" t="s">
        <v>725</v>
      </c>
      <c r="D12" s="5" t="s">
        <v>158</v>
      </c>
      <c r="E12" s="6" t="s">
        <v>724</v>
      </c>
      <c r="F12" s="5" t="s">
        <v>723</v>
      </c>
      <c r="G12" s="80"/>
      <c r="H12" s="81"/>
      <c r="I12" s="82"/>
      <c r="J12" s="5">
        <v>1</v>
      </c>
      <c r="K12" s="5">
        <v>1</v>
      </c>
      <c r="L12" s="10">
        <v>1</v>
      </c>
      <c r="M12" s="5">
        <v>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x14ac:dyDescent="0.2">
      <c r="A13" s="7" t="s">
        <v>722</v>
      </c>
      <c r="B13" s="7" t="s">
        <v>196</v>
      </c>
      <c r="C13" s="8" t="s">
        <v>721</v>
      </c>
      <c r="D13" s="7" t="s">
        <v>165</v>
      </c>
      <c r="E13" s="8" t="s">
        <v>720</v>
      </c>
      <c r="F13" s="7" t="s">
        <v>719</v>
      </c>
      <c r="G13" s="80"/>
      <c r="H13" s="81"/>
      <c r="I13" s="82"/>
      <c r="J13" s="7"/>
      <c r="K13" s="7">
        <v>1</v>
      </c>
      <c r="L13" s="11">
        <v>1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5" t="s">
        <v>718</v>
      </c>
      <c r="B14" s="5" t="s">
        <v>196</v>
      </c>
      <c r="C14" s="6" t="s">
        <v>717</v>
      </c>
      <c r="D14" s="5" t="s">
        <v>716</v>
      </c>
      <c r="E14" s="6" t="s">
        <v>715</v>
      </c>
      <c r="F14" s="5" t="s">
        <v>714</v>
      </c>
      <c r="G14" s="80"/>
      <c r="H14" s="81"/>
      <c r="I14" s="82"/>
      <c r="J14" s="5">
        <v>1</v>
      </c>
      <c r="K14" s="5">
        <v>1</v>
      </c>
      <c r="L14" s="10">
        <v>1</v>
      </c>
      <c r="M14" s="5">
        <v>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x14ac:dyDescent="0.2">
      <c r="A15" s="7" t="s">
        <v>713</v>
      </c>
      <c r="B15" s="7">
        <v>1</v>
      </c>
      <c r="C15" s="8" t="s">
        <v>712</v>
      </c>
      <c r="D15" s="7" t="s">
        <v>165</v>
      </c>
      <c r="E15" s="8" t="s">
        <v>711</v>
      </c>
      <c r="F15" s="7" t="s">
        <v>710</v>
      </c>
      <c r="G15" s="80"/>
      <c r="H15" s="81"/>
      <c r="I15" s="82"/>
      <c r="J15" s="7">
        <v>1</v>
      </c>
      <c r="K15" s="7">
        <v>1</v>
      </c>
      <c r="L15" s="11">
        <v>1</v>
      </c>
      <c r="M15" s="7">
        <v>1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">
      <c r="A16" s="5" t="s">
        <v>709</v>
      </c>
      <c r="B16" s="5">
        <v>1</v>
      </c>
      <c r="C16" s="6" t="s">
        <v>708</v>
      </c>
      <c r="D16" s="5" t="s">
        <v>13</v>
      </c>
      <c r="E16" s="6" t="s">
        <v>707</v>
      </c>
      <c r="F16" s="5" t="s">
        <v>706</v>
      </c>
      <c r="G16" s="80"/>
      <c r="H16" s="81"/>
      <c r="I16" s="82"/>
      <c r="J16" s="5">
        <v>1</v>
      </c>
      <c r="K16" s="5">
        <v>1</v>
      </c>
      <c r="L16" s="10">
        <v>1</v>
      </c>
      <c r="M16" s="5">
        <v>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x14ac:dyDescent="0.2">
      <c r="A17" s="7" t="s">
        <v>705</v>
      </c>
      <c r="B17" s="7" t="s">
        <v>196</v>
      </c>
      <c r="C17" s="8" t="s">
        <v>704</v>
      </c>
      <c r="D17" s="7" t="s">
        <v>76</v>
      </c>
      <c r="E17" s="8" t="s">
        <v>703</v>
      </c>
      <c r="F17" s="7" t="s">
        <v>702</v>
      </c>
      <c r="G17" s="80"/>
      <c r="H17" s="81"/>
      <c r="I17" s="82"/>
      <c r="J17" s="7"/>
      <c r="K17" s="7"/>
      <c r="L17" s="11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">
      <c r="A18" s="5" t="s">
        <v>701</v>
      </c>
      <c r="B18" s="5">
        <v>1</v>
      </c>
      <c r="C18" s="6" t="s">
        <v>700</v>
      </c>
      <c r="D18" s="5" t="s">
        <v>13</v>
      </c>
      <c r="E18" s="6" t="s">
        <v>699</v>
      </c>
      <c r="F18" s="5" t="s">
        <v>698</v>
      </c>
      <c r="G18" s="80"/>
      <c r="H18" s="81"/>
      <c r="I18" s="82"/>
      <c r="J18" s="5">
        <v>1</v>
      </c>
      <c r="K18" s="5">
        <v>1</v>
      </c>
      <c r="L18" s="10">
        <v>1</v>
      </c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x14ac:dyDescent="0.2">
      <c r="A19" s="7" t="s">
        <v>697</v>
      </c>
      <c r="B19" s="7">
        <v>1</v>
      </c>
      <c r="C19" s="8" t="s">
        <v>696</v>
      </c>
      <c r="D19" s="7" t="s">
        <v>192</v>
      </c>
      <c r="E19" s="8" t="s">
        <v>695</v>
      </c>
      <c r="F19" s="7" t="s">
        <v>694</v>
      </c>
      <c r="G19" s="80"/>
      <c r="H19" s="81"/>
      <c r="I19" s="82"/>
      <c r="J19" s="7"/>
      <c r="K19" s="7">
        <v>1</v>
      </c>
      <c r="L19" s="7">
        <v>1</v>
      </c>
      <c r="M19" s="7">
        <v>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5" t="s">
        <v>693</v>
      </c>
      <c r="B20" s="5" t="s">
        <v>196</v>
      </c>
      <c r="C20" s="6" t="s">
        <v>692</v>
      </c>
      <c r="D20" s="5" t="s">
        <v>76</v>
      </c>
      <c r="E20" s="6" t="s">
        <v>691</v>
      </c>
      <c r="F20" s="5" t="s">
        <v>690</v>
      </c>
      <c r="G20" s="80"/>
      <c r="H20" s="81"/>
      <c r="I20" s="82"/>
      <c r="J20" s="5"/>
      <c r="K20" s="5"/>
      <c r="L20" s="10">
        <v>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x14ac:dyDescent="0.2">
      <c r="A21" s="7" t="s">
        <v>689</v>
      </c>
      <c r="B21" s="7">
        <v>1</v>
      </c>
      <c r="C21" s="8" t="s">
        <v>688</v>
      </c>
      <c r="D21" s="7" t="s">
        <v>13</v>
      </c>
      <c r="E21" s="8" t="s">
        <v>687</v>
      </c>
      <c r="F21" s="7" t="s">
        <v>686</v>
      </c>
      <c r="G21" s="80"/>
      <c r="H21" s="81"/>
      <c r="I21" s="82"/>
      <c r="J21" s="7">
        <v>1</v>
      </c>
      <c r="K21" s="7">
        <v>1</v>
      </c>
      <c r="L21" s="11">
        <v>1</v>
      </c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">
      <c r="A22" s="5" t="s">
        <v>685</v>
      </c>
      <c r="B22" s="5">
        <v>1</v>
      </c>
      <c r="C22" s="6" t="s">
        <v>684</v>
      </c>
      <c r="D22" s="5" t="s">
        <v>76</v>
      </c>
      <c r="E22" s="6" t="s">
        <v>683</v>
      </c>
      <c r="F22" s="5" t="s">
        <v>682</v>
      </c>
      <c r="G22" s="80"/>
      <c r="H22" s="81"/>
      <c r="I22" s="82"/>
      <c r="J22" s="5">
        <v>1</v>
      </c>
      <c r="K22" s="5">
        <v>1</v>
      </c>
      <c r="L22" s="10">
        <v>1</v>
      </c>
      <c r="M22" s="5">
        <v>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x14ac:dyDescent="0.2">
      <c r="A23" s="7" t="s">
        <v>681</v>
      </c>
      <c r="B23" s="7">
        <v>1</v>
      </c>
      <c r="C23" s="8" t="s">
        <v>680</v>
      </c>
      <c r="D23" s="7" t="s">
        <v>76</v>
      </c>
      <c r="E23" s="8" t="s">
        <v>679</v>
      </c>
      <c r="F23" s="7" t="s">
        <v>678</v>
      </c>
      <c r="G23" s="80"/>
      <c r="H23" s="81"/>
      <c r="I23" s="82"/>
      <c r="J23" s="7"/>
      <c r="K23" s="7"/>
      <c r="L23" s="11">
        <v>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">
      <c r="A24" s="5" t="s">
        <v>677</v>
      </c>
      <c r="B24" s="5" t="s">
        <v>196</v>
      </c>
      <c r="C24" s="6" t="s">
        <v>676</v>
      </c>
      <c r="D24" s="5" t="s">
        <v>172</v>
      </c>
      <c r="E24" s="6" t="s">
        <v>675</v>
      </c>
      <c r="F24" s="5" t="s">
        <v>674</v>
      </c>
      <c r="G24" s="80"/>
      <c r="H24" s="81"/>
      <c r="I24" s="82"/>
      <c r="J24" s="5">
        <v>1</v>
      </c>
      <c r="K24" s="5">
        <v>1</v>
      </c>
      <c r="L24" s="10">
        <v>1</v>
      </c>
      <c r="M24" s="5">
        <v>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x14ac:dyDescent="0.2">
      <c r="A25" s="7" t="s">
        <v>673</v>
      </c>
      <c r="B25" s="7" t="s">
        <v>196</v>
      </c>
      <c r="C25" s="8" t="s">
        <v>672</v>
      </c>
      <c r="D25" s="7" t="s">
        <v>192</v>
      </c>
      <c r="E25" s="8" t="s">
        <v>671</v>
      </c>
      <c r="F25" s="7" t="s">
        <v>670</v>
      </c>
      <c r="G25" s="80"/>
      <c r="H25" s="81"/>
      <c r="I25" s="82"/>
      <c r="J25" s="7">
        <v>1</v>
      </c>
      <c r="K25" s="7">
        <v>1</v>
      </c>
      <c r="L25" s="11">
        <v>1</v>
      </c>
      <c r="M25" s="7">
        <v>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">
      <c r="A26" s="5" t="s">
        <v>669</v>
      </c>
      <c r="B26" s="5">
        <v>1</v>
      </c>
      <c r="C26" s="6" t="s">
        <v>668</v>
      </c>
      <c r="D26" s="5" t="s">
        <v>192</v>
      </c>
      <c r="E26" s="6" t="s">
        <v>667</v>
      </c>
      <c r="F26" s="5" t="s">
        <v>666</v>
      </c>
      <c r="G26" s="80"/>
      <c r="H26" s="81"/>
      <c r="I26" s="82"/>
      <c r="J26" s="5">
        <v>1</v>
      </c>
      <c r="K26" s="5">
        <v>1</v>
      </c>
      <c r="L26" s="5">
        <v>1</v>
      </c>
      <c r="M26" s="5">
        <v>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x14ac:dyDescent="0.2">
      <c r="A27" s="7" t="s">
        <v>665</v>
      </c>
      <c r="B27" s="7" t="s">
        <v>6</v>
      </c>
      <c r="C27" s="8" t="s">
        <v>664</v>
      </c>
      <c r="D27" s="7" t="s">
        <v>76</v>
      </c>
      <c r="E27" s="8" t="s">
        <v>663</v>
      </c>
      <c r="F27" s="7" t="s">
        <v>662</v>
      </c>
      <c r="G27" s="80"/>
      <c r="H27" s="81"/>
      <c r="I27" s="82"/>
      <c r="J27" s="7">
        <v>1</v>
      </c>
      <c r="K27" s="7"/>
      <c r="L27" s="11">
        <v>1</v>
      </c>
      <c r="M27" s="7">
        <v>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">
      <c r="A28" s="5" t="s">
        <v>661</v>
      </c>
      <c r="B28" s="5" t="s">
        <v>6</v>
      </c>
      <c r="C28" s="6" t="s">
        <v>660</v>
      </c>
      <c r="D28" s="5" t="s">
        <v>158</v>
      </c>
      <c r="E28" s="6" t="s">
        <v>659</v>
      </c>
      <c r="F28" s="5" t="s">
        <v>658</v>
      </c>
      <c r="G28" s="80"/>
      <c r="H28" s="81"/>
      <c r="I28" s="82"/>
      <c r="J28" s="5">
        <v>1</v>
      </c>
      <c r="K28" s="5">
        <v>1</v>
      </c>
      <c r="L28" s="10">
        <v>1</v>
      </c>
      <c r="M28" s="5">
        <v>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x14ac:dyDescent="0.2">
      <c r="A29" s="7" t="s">
        <v>657</v>
      </c>
      <c r="B29" s="7" t="s">
        <v>6</v>
      </c>
      <c r="C29" s="8" t="s">
        <v>656</v>
      </c>
      <c r="D29" s="7" t="s">
        <v>76</v>
      </c>
      <c r="E29" s="8" t="s">
        <v>655</v>
      </c>
      <c r="F29" s="7" t="s">
        <v>654</v>
      </c>
      <c r="G29" s="80"/>
      <c r="H29" s="81"/>
      <c r="I29" s="82"/>
      <c r="J29" s="7">
        <v>1</v>
      </c>
      <c r="K29" s="7">
        <v>1</v>
      </c>
      <c r="L29" s="11">
        <v>1</v>
      </c>
      <c r="M29" s="7">
        <v>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">
      <c r="A30" s="5" t="s">
        <v>653</v>
      </c>
      <c r="B30" s="5">
        <v>1</v>
      </c>
      <c r="C30" s="6" t="s">
        <v>652</v>
      </c>
      <c r="D30" s="5" t="s">
        <v>165</v>
      </c>
      <c r="E30" s="6" t="s">
        <v>651</v>
      </c>
      <c r="F30" s="5" t="s">
        <v>650</v>
      </c>
      <c r="G30" s="80"/>
      <c r="H30" s="81"/>
      <c r="I30" s="82"/>
      <c r="J30" s="5">
        <v>1</v>
      </c>
      <c r="K30" s="5">
        <v>1</v>
      </c>
      <c r="L30" s="10">
        <v>1</v>
      </c>
      <c r="M30" s="5">
        <v>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x14ac:dyDescent="0.2">
      <c r="A31" s="7" t="s">
        <v>649</v>
      </c>
      <c r="B31" s="7">
        <v>1</v>
      </c>
      <c r="C31" s="8" t="s">
        <v>648</v>
      </c>
      <c r="D31" s="7" t="s">
        <v>76</v>
      </c>
      <c r="E31" s="8" t="s">
        <v>647</v>
      </c>
      <c r="F31" s="7" t="s">
        <v>646</v>
      </c>
      <c r="G31" s="80"/>
      <c r="H31" s="81"/>
      <c r="I31" s="82"/>
      <c r="J31" s="7">
        <v>1</v>
      </c>
      <c r="K31" s="7">
        <v>1</v>
      </c>
      <c r="L31" s="11">
        <v>1</v>
      </c>
      <c r="M31" s="7">
        <v>1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">
      <c r="A32" s="5" t="s">
        <v>645</v>
      </c>
      <c r="B32" s="5">
        <v>1</v>
      </c>
      <c r="C32" s="6" t="s">
        <v>644</v>
      </c>
      <c r="D32" s="5" t="s">
        <v>76</v>
      </c>
      <c r="E32" s="6" t="s">
        <v>643</v>
      </c>
      <c r="F32" s="5" t="s">
        <v>642</v>
      </c>
      <c r="G32" s="80"/>
      <c r="H32" s="81"/>
      <c r="I32" s="82"/>
      <c r="J32" s="5">
        <v>1</v>
      </c>
      <c r="K32" s="5"/>
      <c r="L32" s="10">
        <v>1</v>
      </c>
      <c r="M32" s="5">
        <v>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x14ac:dyDescent="0.2">
      <c r="A33" s="7" t="s">
        <v>641</v>
      </c>
      <c r="B33" s="7" t="s">
        <v>6</v>
      </c>
      <c r="C33" s="8" t="s">
        <v>640</v>
      </c>
      <c r="D33" s="7" t="s">
        <v>158</v>
      </c>
      <c r="E33" s="8" t="s">
        <v>639</v>
      </c>
      <c r="F33" s="7" t="s">
        <v>638</v>
      </c>
      <c r="G33" s="80"/>
      <c r="H33" s="81"/>
      <c r="I33" s="82"/>
      <c r="J33" s="7">
        <v>1</v>
      </c>
      <c r="K33" s="7">
        <v>1</v>
      </c>
      <c r="L33" s="11">
        <v>1</v>
      </c>
      <c r="M33" s="7">
        <v>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">
      <c r="A34" s="5" t="s">
        <v>637</v>
      </c>
      <c r="B34" s="5">
        <v>1</v>
      </c>
      <c r="C34" s="6" t="s">
        <v>636</v>
      </c>
      <c r="D34" s="5" t="s">
        <v>172</v>
      </c>
      <c r="E34" s="6" t="s">
        <v>635</v>
      </c>
      <c r="F34" s="5" t="s">
        <v>634</v>
      </c>
      <c r="G34" s="80"/>
      <c r="H34" s="81"/>
      <c r="I34" s="82"/>
      <c r="J34" s="5"/>
      <c r="K34" s="5"/>
      <c r="L34" s="10">
        <v>1</v>
      </c>
      <c r="M34" s="5">
        <v>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x14ac:dyDescent="0.2">
      <c r="A35" s="7" t="s">
        <v>633</v>
      </c>
      <c r="B35" s="7">
        <v>1</v>
      </c>
      <c r="C35" s="8" t="s">
        <v>632</v>
      </c>
      <c r="D35" s="7" t="s">
        <v>165</v>
      </c>
      <c r="E35" s="8" t="s">
        <v>631</v>
      </c>
      <c r="F35" s="7" t="s">
        <v>630</v>
      </c>
      <c r="G35" s="80"/>
      <c r="H35" s="81"/>
      <c r="I35" s="82"/>
      <c r="J35" s="7">
        <v>1</v>
      </c>
      <c r="K35" s="7"/>
      <c r="L35" s="11">
        <v>1</v>
      </c>
      <c r="M35" s="7">
        <v>1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">
      <c r="A36" s="5" t="s">
        <v>629</v>
      </c>
      <c r="B36" s="5">
        <v>1</v>
      </c>
      <c r="C36" s="6" t="s">
        <v>628</v>
      </c>
      <c r="D36" s="5" t="s">
        <v>76</v>
      </c>
      <c r="E36" s="6" t="s">
        <v>627</v>
      </c>
      <c r="F36" s="5" t="s">
        <v>626</v>
      </c>
      <c r="G36" s="80"/>
      <c r="H36" s="81"/>
      <c r="I36" s="82"/>
      <c r="J36" s="5">
        <v>1</v>
      </c>
      <c r="K36" s="5">
        <v>1</v>
      </c>
      <c r="L36" s="5"/>
      <c r="M36" s="5">
        <v>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x14ac:dyDescent="0.2">
      <c r="A37" s="7" t="s">
        <v>625</v>
      </c>
      <c r="B37" s="7" t="s">
        <v>6</v>
      </c>
      <c r="C37" s="8" t="s">
        <v>624</v>
      </c>
      <c r="D37" s="7" t="s">
        <v>76</v>
      </c>
      <c r="E37" s="8" t="s">
        <v>623</v>
      </c>
      <c r="F37" s="7" t="s">
        <v>622</v>
      </c>
      <c r="G37" s="80"/>
      <c r="H37" s="81"/>
      <c r="I37" s="82"/>
      <c r="J37" s="7">
        <v>1</v>
      </c>
      <c r="K37" s="7">
        <v>1</v>
      </c>
      <c r="L37" s="11">
        <v>1</v>
      </c>
      <c r="M37" s="7">
        <v>1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">
      <c r="A38" s="5" t="s">
        <v>621</v>
      </c>
      <c r="B38" s="5">
        <v>1</v>
      </c>
      <c r="C38" s="6" t="s">
        <v>620</v>
      </c>
      <c r="D38" s="5" t="s">
        <v>172</v>
      </c>
      <c r="E38" s="6" t="s">
        <v>619</v>
      </c>
      <c r="F38" s="5" t="s">
        <v>618</v>
      </c>
      <c r="G38" s="80"/>
      <c r="H38" s="81"/>
      <c r="I38" s="82"/>
      <c r="J38" s="5"/>
      <c r="K38" s="5"/>
      <c r="L38" s="10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x14ac:dyDescent="0.2">
      <c r="A39" s="7" t="s">
        <v>617</v>
      </c>
      <c r="B39" s="7">
        <v>1</v>
      </c>
      <c r="C39" s="8" t="s">
        <v>616</v>
      </c>
      <c r="D39" s="7" t="s">
        <v>76</v>
      </c>
      <c r="E39" s="8" t="s">
        <v>615</v>
      </c>
      <c r="F39" s="7" t="s">
        <v>614</v>
      </c>
      <c r="G39" s="80"/>
      <c r="H39" s="81"/>
      <c r="I39" s="8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">
      <c r="A40" s="5" t="s">
        <v>613</v>
      </c>
      <c r="B40" s="5">
        <v>1</v>
      </c>
      <c r="C40" s="6" t="s">
        <v>612</v>
      </c>
      <c r="D40" s="5" t="s">
        <v>165</v>
      </c>
      <c r="E40" s="6" t="s">
        <v>611</v>
      </c>
      <c r="F40" s="5" t="s">
        <v>610</v>
      </c>
      <c r="G40" s="80"/>
      <c r="H40" s="81"/>
      <c r="I40" s="82"/>
      <c r="J40" s="5"/>
      <c r="K40" s="5"/>
      <c r="L40" s="10">
        <v>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x14ac:dyDescent="0.2">
      <c r="A41" s="7" t="s">
        <v>609</v>
      </c>
      <c r="B41" s="7" t="s">
        <v>196</v>
      </c>
      <c r="C41" s="8" t="s">
        <v>608</v>
      </c>
      <c r="D41" s="7" t="s">
        <v>13</v>
      </c>
      <c r="E41" s="8" t="s">
        <v>607</v>
      </c>
      <c r="F41" s="7" t="s">
        <v>606</v>
      </c>
      <c r="G41" s="80"/>
      <c r="H41" s="81"/>
      <c r="I41" s="82"/>
      <c r="J41" s="7">
        <v>1</v>
      </c>
      <c r="K41" s="7">
        <v>1</v>
      </c>
      <c r="L41" s="7">
        <v>1</v>
      </c>
      <c r="M41" s="7">
        <v>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">
      <c r="A42" s="5" t="s">
        <v>605</v>
      </c>
      <c r="B42" s="5" t="s">
        <v>6</v>
      </c>
      <c r="C42" s="6" t="s">
        <v>604</v>
      </c>
      <c r="D42" s="5" t="s">
        <v>165</v>
      </c>
      <c r="E42" s="6" t="s">
        <v>603</v>
      </c>
      <c r="F42" s="5" t="s">
        <v>602</v>
      </c>
      <c r="G42" s="80"/>
      <c r="H42" s="81"/>
      <c r="I42" s="82"/>
      <c r="J42" s="5"/>
      <c r="K42" s="5">
        <v>1</v>
      </c>
      <c r="L42" s="5"/>
      <c r="M42" s="5">
        <v>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">
      <c r="A43" s="7" t="s">
        <v>601</v>
      </c>
      <c r="B43" s="7">
        <v>1</v>
      </c>
      <c r="C43" s="8" t="s">
        <v>600</v>
      </c>
      <c r="D43" s="7" t="s">
        <v>13</v>
      </c>
      <c r="E43" s="8" t="s">
        <v>599</v>
      </c>
      <c r="F43" s="7" t="s">
        <v>598</v>
      </c>
      <c r="G43" s="83"/>
      <c r="H43" s="84"/>
      <c r="I43" s="85"/>
      <c r="J43" s="7">
        <v>1</v>
      </c>
      <c r="K43" s="7">
        <v>1</v>
      </c>
      <c r="L43" s="7"/>
      <c r="M43" s="7">
        <v>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x14ac:dyDescent="0.2">
      <c r="J44" s="4">
        <f>SUM(J10:J43)</f>
        <v>22</v>
      </c>
      <c r="L44" s="4">
        <f>SUM(L10:L43)</f>
        <v>30</v>
      </c>
    </row>
  </sheetData>
  <mergeCells count="7">
    <mergeCell ref="G10:I43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1:AN33"/>
  <sheetViews>
    <sheetView zoomScale="175" workbookViewId="0">
      <pane ySplit="1" topLeftCell="A2" activePane="bottomLeft" state="frozen"/>
      <selection pane="bottomLeft" activeCell="F32" sqref="F32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83203125" style="15" bestFit="1" customWidth="1"/>
    <col min="4" max="4" width="8.33203125" style="4" bestFit="1" customWidth="1"/>
    <col min="5" max="16384" width="8.83203125" style="4"/>
  </cols>
  <sheetData>
    <row r="1" spans="1:40" x14ac:dyDescent="0.2">
      <c r="A1" s="9" t="s">
        <v>5</v>
      </c>
      <c r="B1" s="9" t="s">
        <v>6</v>
      </c>
      <c r="C1" s="12" t="s">
        <v>7</v>
      </c>
      <c r="D1" s="9" t="s">
        <v>8</v>
      </c>
      <c r="E1" s="9" t="s">
        <v>840</v>
      </c>
      <c r="F1" s="9" t="s">
        <v>845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40" x14ac:dyDescent="0.2">
      <c r="A2" s="5" t="s">
        <v>839</v>
      </c>
      <c r="B2" s="5">
        <v>1</v>
      </c>
      <c r="C2" s="13" t="s">
        <v>838</v>
      </c>
      <c r="D2" s="5" t="s">
        <v>172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7" t="s">
        <v>837</v>
      </c>
      <c r="B3" s="7">
        <v>1</v>
      </c>
      <c r="C3" s="14" t="s">
        <v>836</v>
      </c>
      <c r="D3" s="7" t="s">
        <v>175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x14ac:dyDescent="0.2">
      <c r="A4" s="5" t="s">
        <v>835</v>
      </c>
      <c r="B4" s="5">
        <v>1</v>
      </c>
      <c r="C4" s="13" t="s">
        <v>834</v>
      </c>
      <c r="D4" s="5" t="s">
        <v>13</v>
      </c>
      <c r="E4" s="5">
        <v>1</v>
      </c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7" t="s">
        <v>833</v>
      </c>
      <c r="B5" s="16" t="s">
        <v>6</v>
      </c>
      <c r="C5" s="14" t="s">
        <v>832</v>
      </c>
      <c r="D5" s="7" t="s">
        <v>172</v>
      </c>
      <c r="E5" s="7">
        <v>1</v>
      </c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x14ac:dyDescent="0.2">
      <c r="A6" s="5" t="s">
        <v>705</v>
      </c>
      <c r="B6" s="5">
        <v>1</v>
      </c>
      <c r="C6" s="13" t="s">
        <v>704</v>
      </c>
      <c r="D6" s="5" t="s">
        <v>76</v>
      </c>
      <c r="E6" s="5"/>
      <c r="F6" s="5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7" t="s">
        <v>831</v>
      </c>
      <c r="B7" s="7">
        <v>1</v>
      </c>
      <c r="C7" s="14" t="s">
        <v>830</v>
      </c>
      <c r="D7" s="7" t="s">
        <v>76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x14ac:dyDescent="0.2">
      <c r="A8" s="5" t="s">
        <v>829</v>
      </c>
      <c r="B8" s="5">
        <v>1</v>
      </c>
      <c r="C8" s="13" t="s">
        <v>828</v>
      </c>
      <c r="D8" s="5" t="s">
        <v>175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7" t="s">
        <v>827</v>
      </c>
      <c r="B9" s="7">
        <v>1</v>
      </c>
      <c r="C9" s="14" t="s">
        <v>826</v>
      </c>
      <c r="D9" s="7" t="s">
        <v>158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x14ac:dyDescent="0.2">
      <c r="A10" s="5" t="s">
        <v>825</v>
      </c>
      <c r="B10" s="17" t="s">
        <v>196</v>
      </c>
      <c r="C10" s="13" t="s">
        <v>824</v>
      </c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7" t="s">
        <v>823</v>
      </c>
      <c r="B11" s="17" t="s">
        <v>196</v>
      </c>
      <c r="C11" s="14" t="s">
        <v>822</v>
      </c>
      <c r="D11" s="7" t="s">
        <v>716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">
      <c r="A12" s="5" t="s">
        <v>821</v>
      </c>
      <c r="B12" s="5">
        <v>1</v>
      </c>
      <c r="C12" s="13" t="s">
        <v>820</v>
      </c>
      <c r="D12" s="5" t="s">
        <v>76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7" t="s">
        <v>819</v>
      </c>
      <c r="B13" s="7">
        <v>1</v>
      </c>
      <c r="C13" s="14" t="s">
        <v>818</v>
      </c>
      <c r="D13" s="7" t="s">
        <v>76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x14ac:dyDescent="0.2">
      <c r="A14" s="5" t="s">
        <v>817</v>
      </c>
      <c r="B14" s="5">
        <v>1</v>
      </c>
      <c r="C14" s="13" t="s">
        <v>816</v>
      </c>
      <c r="D14" s="5" t="s">
        <v>172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7" t="s">
        <v>815</v>
      </c>
      <c r="B15" s="7">
        <v>1</v>
      </c>
      <c r="C15" s="14" t="s">
        <v>814</v>
      </c>
      <c r="D15" s="7" t="s">
        <v>158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x14ac:dyDescent="0.2">
      <c r="A16" s="5" t="s">
        <v>813</v>
      </c>
      <c r="B16" s="5">
        <v>1</v>
      </c>
      <c r="C16" s="13" t="s">
        <v>812</v>
      </c>
      <c r="D16" s="5" t="s">
        <v>76</v>
      </c>
      <c r="E16" s="5">
        <v>1</v>
      </c>
      <c r="F16" s="5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7" t="s">
        <v>811</v>
      </c>
      <c r="B17" s="17" t="s">
        <v>196</v>
      </c>
      <c r="C17" s="14" t="s">
        <v>810</v>
      </c>
      <c r="D17" s="7" t="s">
        <v>13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">
      <c r="A18" s="5" t="s">
        <v>809</v>
      </c>
      <c r="B18" s="5">
        <v>1</v>
      </c>
      <c r="C18" s="13" t="s">
        <v>808</v>
      </c>
      <c r="D18" s="5" t="s">
        <v>158</v>
      </c>
      <c r="E18" s="5">
        <v>1</v>
      </c>
      <c r="F18" s="5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7" t="s">
        <v>807</v>
      </c>
      <c r="B19" s="16" t="s">
        <v>6</v>
      </c>
      <c r="C19" s="14" t="s">
        <v>806</v>
      </c>
      <c r="D19" s="7" t="s">
        <v>158</v>
      </c>
      <c r="E19" s="7">
        <v>1</v>
      </c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">
      <c r="A20" s="5" t="s">
        <v>174</v>
      </c>
      <c r="B20" s="5">
        <v>1</v>
      </c>
      <c r="C20" s="13" t="s">
        <v>173</v>
      </c>
      <c r="D20" s="5" t="s">
        <v>172</v>
      </c>
      <c r="E20" s="5">
        <v>1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7" t="s">
        <v>805</v>
      </c>
      <c r="B21" s="7">
        <v>1</v>
      </c>
      <c r="C21" s="14" t="s">
        <v>804</v>
      </c>
      <c r="D21" s="7" t="s">
        <v>175</v>
      </c>
      <c r="E21" s="7">
        <v>1</v>
      </c>
      <c r="F21" s="7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2">
      <c r="A22" s="5" t="s">
        <v>803</v>
      </c>
      <c r="B22" s="5">
        <v>1</v>
      </c>
      <c r="C22" s="13" t="s">
        <v>802</v>
      </c>
      <c r="D22" s="5" t="s">
        <v>175</v>
      </c>
      <c r="E22" s="5">
        <v>1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7" t="s">
        <v>801</v>
      </c>
      <c r="B23" s="16" t="s">
        <v>6</v>
      </c>
      <c r="C23" s="14" t="s">
        <v>800</v>
      </c>
      <c r="D23" s="7" t="s">
        <v>158</v>
      </c>
      <c r="E23" s="7">
        <v>1</v>
      </c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">
      <c r="A24" s="5" t="s">
        <v>799</v>
      </c>
      <c r="B24" s="17" t="s">
        <v>196</v>
      </c>
      <c r="C24" s="13" t="s">
        <v>798</v>
      </c>
      <c r="D24" s="5" t="s">
        <v>76</v>
      </c>
      <c r="E24" s="5">
        <v>1</v>
      </c>
      <c r="F24" s="5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7" t="s">
        <v>797</v>
      </c>
      <c r="B25" s="7">
        <v>1</v>
      </c>
      <c r="C25" s="14" t="s">
        <v>796</v>
      </c>
      <c r="D25" s="7" t="s">
        <v>716</v>
      </c>
      <c r="E25" s="7">
        <v>1</v>
      </c>
      <c r="F25" s="7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x14ac:dyDescent="0.2">
      <c r="A26" s="5" t="s">
        <v>795</v>
      </c>
      <c r="B26" s="5">
        <v>1</v>
      </c>
      <c r="C26" s="13" t="s">
        <v>794</v>
      </c>
      <c r="D26" s="5" t="s">
        <v>13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7" t="s">
        <v>793</v>
      </c>
      <c r="B27" s="7">
        <v>1</v>
      </c>
      <c r="C27" s="14" t="s">
        <v>792</v>
      </c>
      <c r="D27" s="7" t="s">
        <v>158</v>
      </c>
      <c r="E27" s="7">
        <v>0.5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">
      <c r="A28" s="5" t="s">
        <v>791</v>
      </c>
      <c r="B28" s="5">
        <v>1</v>
      </c>
      <c r="C28" s="13" t="s">
        <v>790</v>
      </c>
      <c r="D28" s="5" t="s">
        <v>155</v>
      </c>
      <c r="E28" s="5"/>
      <c r="F28" s="5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7" t="s">
        <v>789</v>
      </c>
      <c r="B29" s="17" t="s">
        <v>196</v>
      </c>
      <c r="C29" s="14" t="s">
        <v>788</v>
      </c>
      <c r="D29" s="7" t="s">
        <v>13</v>
      </c>
      <c r="E29" s="7">
        <v>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">
      <c r="A30" s="5" t="s">
        <v>787</v>
      </c>
      <c r="B30" s="5">
        <v>1</v>
      </c>
      <c r="C30" s="13" t="s">
        <v>786</v>
      </c>
      <c r="D30" s="5" t="s">
        <v>158</v>
      </c>
      <c r="E30" s="5">
        <v>1</v>
      </c>
      <c r="F30" s="5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7" t="s">
        <v>785</v>
      </c>
      <c r="B31" s="16" t="s">
        <v>6</v>
      </c>
      <c r="C31" s="14" t="s">
        <v>784</v>
      </c>
      <c r="D31" s="7" t="s">
        <v>172</v>
      </c>
      <c r="E31" s="7">
        <v>1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">
      <c r="A32" s="5" t="s">
        <v>783</v>
      </c>
      <c r="B32" s="17" t="s">
        <v>196</v>
      </c>
      <c r="C32" s="13" t="s">
        <v>782</v>
      </c>
      <c r="D32" s="5" t="s">
        <v>158</v>
      </c>
      <c r="E32" s="5">
        <v>1</v>
      </c>
      <c r="F32" s="5">
        <v>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3:5" x14ac:dyDescent="0.2">
      <c r="C33" s="15" t="s">
        <v>842</v>
      </c>
      <c r="E33" s="4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1:AY41"/>
  <sheetViews>
    <sheetView zoomScale="191" workbookViewId="0">
      <pane ySplit="2" topLeftCell="A5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3.5" style="4" bestFit="1" customWidth="1"/>
    <col min="4" max="4" width="4" style="4" bestFit="1" customWidth="1"/>
    <col min="5" max="5" width="36.5" style="4" hidden="1" customWidth="1"/>
    <col min="6" max="6" width="45.83203125" style="4" hidden="1" customWidth="1"/>
    <col min="7" max="16384" width="8.83203125" style="4"/>
  </cols>
  <sheetData>
    <row r="1" spans="1:51" x14ac:dyDescent="0.2">
      <c r="A1" s="23" t="s">
        <v>855</v>
      </c>
      <c r="C1" s="4" t="s">
        <v>445</v>
      </c>
    </row>
    <row r="2" spans="1:51" x14ac:dyDescent="0.2">
      <c r="A2" s="9" t="s">
        <v>5</v>
      </c>
      <c r="B2" s="9" t="s">
        <v>6</v>
      </c>
      <c r="C2" s="9" t="s">
        <v>7</v>
      </c>
      <c r="D2" s="9" t="s">
        <v>854</v>
      </c>
      <c r="E2" s="9" t="s">
        <v>9</v>
      </c>
      <c r="F2" s="9" t="s">
        <v>10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">
      <c r="A3" s="5" t="s">
        <v>597</v>
      </c>
      <c r="B3" s="5">
        <v>1</v>
      </c>
      <c r="C3" s="6" t="s">
        <v>596</v>
      </c>
      <c r="D3" s="5" t="s">
        <v>175</v>
      </c>
      <c r="E3" s="6" t="s">
        <v>595</v>
      </c>
      <c r="F3" s="5" t="s">
        <v>594</v>
      </c>
      <c r="G3" s="77"/>
      <c r="H3" s="79"/>
      <c r="I3" s="5"/>
      <c r="J3" s="5"/>
      <c r="K3" s="5"/>
      <c r="L3" s="5">
        <v>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">
      <c r="A4" s="7" t="s">
        <v>593</v>
      </c>
      <c r="B4" s="7">
        <v>1</v>
      </c>
      <c r="C4" s="8" t="s">
        <v>592</v>
      </c>
      <c r="D4" s="7" t="s">
        <v>175</v>
      </c>
      <c r="E4" s="8" t="s">
        <v>591</v>
      </c>
      <c r="F4" s="7" t="s">
        <v>590</v>
      </c>
      <c r="G4" s="80"/>
      <c r="H4" s="82"/>
      <c r="I4" s="7"/>
      <c r="J4" s="7"/>
      <c r="K4" s="7"/>
      <c r="L4" s="7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5" t="s">
        <v>589</v>
      </c>
      <c r="B5" s="5">
        <v>1</v>
      </c>
      <c r="C5" s="6" t="s">
        <v>588</v>
      </c>
      <c r="D5" s="5" t="s">
        <v>175</v>
      </c>
      <c r="E5" s="6" t="s">
        <v>587</v>
      </c>
      <c r="F5" s="5" t="s">
        <v>586</v>
      </c>
      <c r="G5" s="80"/>
      <c r="H5" s="82"/>
      <c r="I5" s="5"/>
      <c r="J5" s="5"/>
      <c r="K5" s="5"/>
      <c r="L5" s="5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">
      <c r="A6" s="7" t="s">
        <v>585</v>
      </c>
      <c r="B6" s="7">
        <v>1</v>
      </c>
      <c r="C6" s="8" t="s">
        <v>584</v>
      </c>
      <c r="D6" s="7" t="s">
        <v>175</v>
      </c>
      <c r="E6" s="8" t="s">
        <v>583</v>
      </c>
      <c r="F6" s="7" t="s">
        <v>582</v>
      </c>
      <c r="G6" s="80"/>
      <c r="H6" s="8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5" t="s">
        <v>581</v>
      </c>
      <c r="B7" s="5">
        <v>1</v>
      </c>
      <c r="C7" s="6" t="s">
        <v>580</v>
      </c>
      <c r="D7" s="5" t="s">
        <v>175</v>
      </c>
      <c r="E7" s="6" t="s">
        <v>579</v>
      </c>
      <c r="F7" s="5" t="s">
        <v>578</v>
      </c>
      <c r="G7" s="80"/>
      <c r="H7" s="82"/>
      <c r="I7" s="5"/>
      <c r="J7" s="5"/>
      <c r="K7" s="5"/>
      <c r="L7" s="5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">
      <c r="A8" s="7" t="s">
        <v>577</v>
      </c>
      <c r="B8" s="7">
        <v>1</v>
      </c>
      <c r="C8" s="8" t="s">
        <v>576</v>
      </c>
      <c r="D8" s="7" t="s">
        <v>175</v>
      </c>
      <c r="E8" s="8" t="s">
        <v>575</v>
      </c>
      <c r="F8" s="7" t="s">
        <v>574</v>
      </c>
      <c r="G8" s="80"/>
      <c r="H8" s="82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5" t="s">
        <v>573</v>
      </c>
      <c r="B9" s="5">
        <v>1</v>
      </c>
      <c r="C9" s="6" t="s">
        <v>572</v>
      </c>
      <c r="D9" s="5" t="s">
        <v>175</v>
      </c>
      <c r="E9" s="6" t="s">
        <v>571</v>
      </c>
      <c r="F9" s="5" t="s">
        <v>570</v>
      </c>
      <c r="G9" s="80"/>
      <c r="H9" s="82"/>
      <c r="I9" s="5"/>
      <c r="J9" s="5"/>
      <c r="K9" s="5"/>
      <c r="L9" s="5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">
      <c r="A10" s="7" t="s">
        <v>569</v>
      </c>
      <c r="B10" s="7">
        <v>1</v>
      </c>
      <c r="C10" s="8" t="s">
        <v>568</v>
      </c>
      <c r="D10" s="7" t="s">
        <v>175</v>
      </c>
      <c r="E10" s="8" t="s">
        <v>567</v>
      </c>
      <c r="F10" s="7" t="s">
        <v>566</v>
      </c>
      <c r="G10" s="80"/>
      <c r="H10" s="82"/>
      <c r="I10" s="7"/>
      <c r="J10" s="7"/>
      <c r="K10" s="7"/>
      <c r="L10" s="7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">
      <c r="A11" s="5" t="s">
        <v>565</v>
      </c>
      <c r="B11" s="5">
        <v>1</v>
      </c>
      <c r="C11" s="6" t="s">
        <v>564</v>
      </c>
      <c r="D11" s="5" t="s">
        <v>175</v>
      </c>
      <c r="E11" s="6" t="s">
        <v>563</v>
      </c>
      <c r="F11" s="5" t="s">
        <v>562</v>
      </c>
      <c r="G11" s="80"/>
      <c r="H11" s="82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">
      <c r="A12" s="7" t="s">
        <v>561</v>
      </c>
      <c r="B12" s="7">
        <v>1</v>
      </c>
      <c r="C12" s="8" t="s">
        <v>560</v>
      </c>
      <c r="D12" s="7" t="s">
        <v>175</v>
      </c>
      <c r="E12" s="8" t="s">
        <v>559</v>
      </c>
      <c r="F12" s="7" t="s">
        <v>558</v>
      </c>
      <c r="G12" s="80"/>
      <c r="H12" s="82"/>
      <c r="I12" s="7"/>
      <c r="J12" s="7"/>
      <c r="K12" s="7"/>
      <c r="L12" s="7">
        <v>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">
      <c r="A13" s="5" t="s">
        <v>557</v>
      </c>
      <c r="B13" s="5">
        <v>1</v>
      </c>
      <c r="C13" s="6" t="s">
        <v>556</v>
      </c>
      <c r="D13" s="5" t="s">
        <v>175</v>
      </c>
      <c r="E13" s="6" t="s">
        <v>555</v>
      </c>
      <c r="F13" s="5" t="s">
        <v>554</v>
      </c>
      <c r="G13" s="80"/>
      <c r="H13" s="8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">
      <c r="A14" s="7" t="s">
        <v>553</v>
      </c>
      <c r="B14" s="7">
        <v>1</v>
      </c>
      <c r="C14" s="8" t="s">
        <v>552</v>
      </c>
      <c r="D14" s="7" t="s">
        <v>175</v>
      </c>
      <c r="E14" s="8" t="s">
        <v>551</v>
      </c>
      <c r="F14" s="7" t="s">
        <v>550</v>
      </c>
      <c r="G14" s="80"/>
      <c r="H14" s="82"/>
      <c r="I14" s="7"/>
      <c r="J14" s="7"/>
      <c r="K14" s="7"/>
      <c r="L14" s="7">
        <v>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">
      <c r="A15" s="5" t="s">
        <v>549</v>
      </c>
      <c r="B15" s="5">
        <v>1</v>
      </c>
      <c r="C15" s="6" t="s">
        <v>548</v>
      </c>
      <c r="D15" s="5" t="s">
        <v>175</v>
      </c>
      <c r="E15" s="6" t="s">
        <v>547</v>
      </c>
      <c r="F15" s="5" t="s">
        <v>546</v>
      </c>
      <c r="G15" s="80"/>
      <c r="H15" s="8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">
      <c r="A16" s="7" t="s">
        <v>545</v>
      </c>
      <c r="B16" s="7">
        <v>1</v>
      </c>
      <c r="C16" s="8" t="s">
        <v>544</v>
      </c>
      <c r="D16" s="7" t="s">
        <v>175</v>
      </c>
      <c r="E16" s="8" t="s">
        <v>543</v>
      </c>
      <c r="F16" s="7" t="s">
        <v>542</v>
      </c>
      <c r="G16" s="80"/>
      <c r="H16" s="82"/>
      <c r="I16" s="7"/>
      <c r="J16" s="7"/>
      <c r="K16" s="7"/>
      <c r="L16" s="7">
        <v>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">
      <c r="A17" s="5" t="s">
        <v>541</v>
      </c>
      <c r="B17" s="5">
        <v>1</v>
      </c>
      <c r="C17" s="6" t="s">
        <v>540</v>
      </c>
      <c r="D17" s="5" t="s">
        <v>175</v>
      </c>
      <c r="E17" s="6" t="s">
        <v>539</v>
      </c>
      <c r="F17" s="5" t="s">
        <v>538</v>
      </c>
      <c r="G17" s="80"/>
      <c r="H17" s="82"/>
      <c r="I17" s="5"/>
      <c r="J17" s="5"/>
      <c r="K17" s="5"/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">
      <c r="A18" s="7" t="s">
        <v>537</v>
      </c>
      <c r="B18" s="7">
        <v>1</v>
      </c>
      <c r="C18" s="8" t="s">
        <v>536</v>
      </c>
      <c r="D18" s="7" t="s">
        <v>175</v>
      </c>
      <c r="E18" s="8" t="s">
        <v>535</v>
      </c>
      <c r="F18" s="7" t="s">
        <v>534</v>
      </c>
      <c r="G18" s="80"/>
      <c r="H18" s="82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">
      <c r="A19" s="5" t="s">
        <v>533</v>
      </c>
      <c r="B19" s="5">
        <v>1</v>
      </c>
      <c r="C19" s="6" t="s">
        <v>532</v>
      </c>
      <c r="D19" s="5" t="s">
        <v>175</v>
      </c>
      <c r="E19" s="6" t="s">
        <v>531</v>
      </c>
      <c r="F19" s="5" t="s">
        <v>530</v>
      </c>
      <c r="G19" s="80"/>
      <c r="H19" s="82"/>
      <c r="I19" s="5"/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">
      <c r="A20" s="7" t="s">
        <v>529</v>
      </c>
      <c r="B20" s="7">
        <v>1</v>
      </c>
      <c r="C20" s="8" t="s">
        <v>528</v>
      </c>
      <c r="D20" s="7" t="s">
        <v>175</v>
      </c>
      <c r="E20" s="8" t="s">
        <v>527</v>
      </c>
      <c r="F20" s="7" t="s">
        <v>526</v>
      </c>
      <c r="G20" s="80"/>
      <c r="H20" s="82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">
      <c r="A21" s="5" t="s">
        <v>525</v>
      </c>
      <c r="B21" s="5">
        <v>1</v>
      </c>
      <c r="C21" s="6" t="s">
        <v>524</v>
      </c>
      <c r="D21" s="5" t="s">
        <v>175</v>
      </c>
      <c r="E21" s="6" t="s">
        <v>523</v>
      </c>
      <c r="F21" s="5" t="s">
        <v>522</v>
      </c>
      <c r="G21" s="80"/>
      <c r="H21" s="8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">
      <c r="A22" s="7" t="s">
        <v>521</v>
      </c>
      <c r="B22" s="7">
        <v>1</v>
      </c>
      <c r="C22" s="8" t="s">
        <v>520</v>
      </c>
      <c r="D22" s="7" t="s">
        <v>175</v>
      </c>
      <c r="E22" s="8" t="s">
        <v>519</v>
      </c>
      <c r="F22" s="7" t="s">
        <v>518</v>
      </c>
      <c r="G22" s="80"/>
      <c r="H22" s="8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">
      <c r="A23" s="5" t="s">
        <v>517</v>
      </c>
      <c r="B23" s="5">
        <v>1</v>
      </c>
      <c r="C23" s="6" t="s">
        <v>516</v>
      </c>
      <c r="D23" s="5" t="s">
        <v>175</v>
      </c>
      <c r="E23" s="6" t="s">
        <v>515</v>
      </c>
      <c r="F23" s="5" t="s">
        <v>514</v>
      </c>
      <c r="G23" s="80"/>
      <c r="H23" s="82"/>
      <c r="I23" s="5"/>
      <c r="J23" s="5"/>
      <c r="K23" s="5"/>
      <c r="L23" s="5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">
      <c r="A24" s="7" t="s">
        <v>513</v>
      </c>
      <c r="B24" s="7">
        <v>1</v>
      </c>
      <c r="C24" s="8" t="s">
        <v>512</v>
      </c>
      <c r="D24" s="7" t="s">
        <v>175</v>
      </c>
      <c r="E24" s="8" t="s">
        <v>511</v>
      </c>
      <c r="F24" s="7" t="s">
        <v>510</v>
      </c>
      <c r="G24" s="80"/>
      <c r="H24" s="82"/>
      <c r="I24" s="7"/>
      <c r="J24" s="7"/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">
      <c r="A25" s="5" t="s">
        <v>509</v>
      </c>
      <c r="B25" s="5">
        <v>1</v>
      </c>
      <c r="C25" s="6" t="s">
        <v>508</v>
      </c>
      <c r="D25" s="5" t="s">
        <v>175</v>
      </c>
      <c r="E25" s="6" t="s">
        <v>507</v>
      </c>
      <c r="F25" s="5" t="s">
        <v>506</v>
      </c>
      <c r="G25" s="80"/>
      <c r="H25" s="82"/>
      <c r="I25" s="5"/>
      <c r="J25" s="5"/>
      <c r="K25" s="5"/>
      <c r="L25" s="5">
        <v>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">
      <c r="A26" s="7" t="s">
        <v>505</v>
      </c>
      <c r="B26" s="7">
        <v>1</v>
      </c>
      <c r="C26" s="8" t="s">
        <v>504</v>
      </c>
      <c r="D26" s="7" t="s">
        <v>175</v>
      </c>
      <c r="E26" s="8" t="s">
        <v>503</v>
      </c>
      <c r="F26" s="7" t="s">
        <v>502</v>
      </c>
      <c r="G26" s="80"/>
      <c r="H26" s="8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">
      <c r="A27" s="5" t="s">
        <v>501</v>
      </c>
      <c r="B27" s="5">
        <v>1</v>
      </c>
      <c r="C27" s="6" t="s">
        <v>500</v>
      </c>
      <c r="D27" s="5" t="s">
        <v>175</v>
      </c>
      <c r="E27" s="6" t="s">
        <v>499</v>
      </c>
      <c r="F27" s="5" t="s">
        <v>498</v>
      </c>
      <c r="G27" s="80"/>
      <c r="H27" s="82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">
      <c r="A28" s="7" t="s">
        <v>497</v>
      </c>
      <c r="B28" s="7">
        <v>1</v>
      </c>
      <c r="C28" s="8" t="s">
        <v>496</v>
      </c>
      <c r="D28" s="7" t="s">
        <v>175</v>
      </c>
      <c r="E28" s="8" t="s">
        <v>495</v>
      </c>
      <c r="F28" s="7" t="s">
        <v>494</v>
      </c>
      <c r="G28" s="80"/>
      <c r="H28" s="82"/>
      <c r="I28" s="7"/>
      <c r="J28" s="7"/>
      <c r="K28" s="7"/>
      <c r="L28" s="7">
        <v>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">
      <c r="A29" s="5" t="s">
        <v>493</v>
      </c>
      <c r="B29" s="5">
        <v>1</v>
      </c>
      <c r="C29" s="6" t="s">
        <v>492</v>
      </c>
      <c r="D29" s="5" t="s">
        <v>175</v>
      </c>
      <c r="E29" s="6" t="s">
        <v>491</v>
      </c>
      <c r="F29" s="5" t="s">
        <v>490</v>
      </c>
      <c r="G29" s="80"/>
      <c r="H29" s="82"/>
      <c r="I29" s="5"/>
      <c r="J29" s="5"/>
      <c r="K29" s="5"/>
      <c r="L29" s="5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">
      <c r="A30" s="7" t="s">
        <v>489</v>
      </c>
      <c r="B30" s="7">
        <v>1</v>
      </c>
      <c r="C30" s="8" t="s">
        <v>488</v>
      </c>
      <c r="D30" s="7" t="s">
        <v>175</v>
      </c>
      <c r="E30" s="8" t="s">
        <v>487</v>
      </c>
      <c r="F30" s="7" t="s">
        <v>486</v>
      </c>
      <c r="G30" s="80"/>
      <c r="H30" s="8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">
      <c r="A31" s="5" t="s">
        <v>485</v>
      </c>
      <c r="B31" s="5">
        <v>1</v>
      </c>
      <c r="C31" s="6" t="s">
        <v>484</v>
      </c>
      <c r="D31" s="5" t="s">
        <v>175</v>
      </c>
      <c r="E31" s="6" t="s">
        <v>483</v>
      </c>
      <c r="F31" s="5" t="s">
        <v>482</v>
      </c>
      <c r="G31" s="80"/>
      <c r="H31" s="82"/>
      <c r="I31" s="5"/>
      <c r="J31" s="5"/>
      <c r="K31" s="5"/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">
      <c r="A32" s="7" t="s">
        <v>481</v>
      </c>
      <c r="B32" s="7">
        <v>1</v>
      </c>
      <c r="C32" s="8" t="s">
        <v>480</v>
      </c>
      <c r="D32" s="7" t="s">
        <v>175</v>
      </c>
      <c r="E32" s="8" t="s">
        <v>479</v>
      </c>
      <c r="F32" s="7" t="s">
        <v>478</v>
      </c>
      <c r="G32" s="80"/>
      <c r="H32" s="82"/>
      <c r="I32" s="7"/>
      <c r="J32" s="7"/>
      <c r="K32" s="7"/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">
      <c r="A33" s="5" t="s">
        <v>477</v>
      </c>
      <c r="B33" s="5">
        <v>1</v>
      </c>
      <c r="C33" s="6" t="s">
        <v>476</v>
      </c>
      <c r="D33" s="5" t="s">
        <v>175</v>
      </c>
      <c r="E33" s="6" t="s">
        <v>475</v>
      </c>
      <c r="F33" s="5" t="s">
        <v>474</v>
      </c>
      <c r="G33" s="80"/>
      <c r="H33" s="82"/>
      <c r="I33" s="5"/>
      <c r="J33" s="5"/>
      <c r="K33" s="5"/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">
      <c r="A34" s="7" t="s">
        <v>473</v>
      </c>
      <c r="B34" s="7">
        <v>1</v>
      </c>
      <c r="C34" s="8" t="s">
        <v>472</v>
      </c>
      <c r="D34" s="7" t="s">
        <v>175</v>
      </c>
      <c r="E34" s="8" t="s">
        <v>471</v>
      </c>
      <c r="F34" s="7" t="s">
        <v>470</v>
      </c>
      <c r="G34" s="80"/>
      <c r="H34" s="82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">
      <c r="A35" s="5" t="s">
        <v>469</v>
      </c>
      <c r="B35" s="5">
        <v>1</v>
      </c>
      <c r="C35" s="6" t="s">
        <v>468</v>
      </c>
      <c r="D35" s="5" t="s">
        <v>175</v>
      </c>
      <c r="E35" s="6" t="s">
        <v>467</v>
      </c>
      <c r="F35" s="5" t="s">
        <v>466</v>
      </c>
      <c r="G35" s="80"/>
      <c r="H35" s="82"/>
      <c r="I35" s="5"/>
      <c r="J35" s="5"/>
      <c r="K35" s="5"/>
      <c r="L35" s="5">
        <v>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">
      <c r="A36" s="7" t="s">
        <v>465</v>
      </c>
      <c r="B36" s="7">
        <v>1</v>
      </c>
      <c r="C36" s="8" t="s">
        <v>464</v>
      </c>
      <c r="D36" s="7" t="s">
        <v>175</v>
      </c>
      <c r="E36" s="8" t="s">
        <v>463</v>
      </c>
      <c r="F36" s="7" t="s">
        <v>462</v>
      </c>
      <c r="G36" s="80"/>
      <c r="H36" s="82"/>
      <c r="I36" s="7"/>
      <c r="J36" s="7"/>
      <c r="K36" s="7"/>
      <c r="L36" s="7"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">
      <c r="A37" s="5" t="s">
        <v>461</v>
      </c>
      <c r="B37" s="5">
        <v>1</v>
      </c>
      <c r="C37" s="6" t="s">
        <v>460</v>
      </c>
      <c r="D37" s="5" t="s">
        <v>175</v>
      </c>
      <c r="E37" s="6" t="s">
        <v>459</v>
      </c>
      <c r="F37" s="5" t="s">
        <v>458</v>
      </c>
      <c r="G37" s="80"/>
      <c r="H37" s="82"/>
      <c r="I37" s="5"/>
      <c r="J37" s="5"/>
      <c r="K37" s="5"/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7" t="s">
        <v>457</v>
      </c>
      <c r="B38" s="7">
        <v>1</v>
      </c>
      <c r="C38" s="8" t="s">
        <v>456</v>
      </c>
      <c r="D38" s="7" t="s">
        <v>175</v>
      </c>
      <c r="E38" s="8" t="s">
        <v>455</v>
      </c>
      <c r="F38" s="7" t="s">
        <v>454</v>
      </c>
      <c r="G38" s="80"/>
      <c r="H38" s="82"/>
      <c r="I38" s="7"/>
      <c r="J38" s="7"/>
      <c r="K38" s="7"/>
      <c r="L38" s="7"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5" t="s">
        <v>453</v>
      </c>
      <c r="B39" s="5">
        <v>1</v>
      </c>
      <c r="C39" s="6" t="s">
        <v>452</v>
      </c>
      <c r="D39" s="5" t="s">
        <v>175</v>
      </c>
      <c r="E39" s="6" t="s">
        <v>451</v>
      </c>
      <c r="F39" s="5" t="s">
        <v>450</v>
      </c>
      <c r="G39" s="80"/>
      <c r="H39" s="8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">
      <c r="A40" s="7" t="s">
        <v>449</v>
      </c>
      <c r="B40" s="7">
        <v>1</v>
      </c>
      <c r="C40" s="8" t="s">
        <v>448</v>
      </c>
      <c r="D40" s="7" t="s">
        <v>175</v>
      </c>
      <c r="E40" s="8" t="s">
        <v>447</v>
      </c>
      <c r="F40" s="7" t="s">
        <v>446</v>
      </c>
      <c r="G40" s="83"/>
      <c r="H40" s="85"/>
      <c r="I40" s="7"/>
      <c r="J40" s="7"/>
      <c r="K40" s="7"/>
      <c r="L40" s="7"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">
      <c r="L41" s="4">
        <f>SUM(L3:L40)</f>
        <v>30</v>
      </c>
    </row>
  </sheetData>
  <mergeCells count="1">
    <mergeCell ref="G3:H4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5"/>
  <sheetViews>
    <sheetView tabSelected="1" topLeftCell="C1" zoomScale="125" workbookViewId="0">
      <pane xSplit="8" ySplit="13" topLeftCell="K14" activePane="bottomRight" state="frozen"/>
      <selection activeCell="C1" sqref="C1"/>
      <selection pane="topRight" activeCell="K1" sqref="K1"/>
      <selection pane="bottomLeft" activeCell="C14" sqref="C14"/>
      <selection pane="bottomRight" activeCell="K6" sqref="K6"/>
    </sheetView>
  </sheetViews>
  <sheetFormatPr baseColWidth="10" defaultColWidth="8.83203125" defaultRowHeight="15" x14ac:dyDescent="0.2"/>
  <cols>
    <col min="1" max="1" width="15.1640625" hidden="1" customWidth="1"/>
    <col min="2" max="2" width="4.5" hidden="1" customWidth="1"/>
    <col min="3" max="3" width="41.1640625" style="19" bestFit="1" customWidth="1"/>
    <col min="4" max="4" width="11.5" hidden="1" customWidth="1"/>
    <col min="5" max="5" width="14.33203125" hidden="1" customWidth="1"/>
    <col min="6" max="6" width="0" hidden="1" customWidth="1"/>
    <col min="7" max="10" width="14.33203125" style="4" customWidth="1"/>
    <col min="11" max="11" width="13" style="4" customWidth="1"/>
    <col min="12" max="12" width="14" style="4" customWidth="1"/>
    <col min="13" max="15" width="8.83203125" style="4"/>
    <col min="16" max="16" width="9.83203125" style="4" bestFit="1" customWidth="1"/>
    <col min="17" max="17" width="12.5" style="4" customWidth="1"/>
    <col min="18" max="18" width="10.83203125" style="4" bestFit="1" customWidth="1"/>
    <col min="19" max="19" width="9" style="4" bestFit="1" customWidth="1"/>
    <col min="20" max="22" width="8.83203125" style="4"/>
    <col min="23" max="23" width="12.5" style="4" customWidth="1"/>
    <col min="24" max="24" width="10.83203125" style="4" bestFit="1" customWidth="1"/>
    <col min="25" max="25" width="9" style="4" bestFit="1" customWidth="1"/>
    <col min="26" max="28" width="8.83203125" style="4"/>
    <col min="29" max="29" width="12.5" style="4" customWidth="1"/>
    <col min="30" max="30" width="10.83203125" style="4" bestFit="1" customWidth="1"/>
    <col min="31" max="31" width="9" style="4" bestFit="1" customWidth="1"/>
    <col min="32" max="34" width="8.83203125" style="4"/>
    <col min="35" max="35" width="12.5" style="4" customWidth="1"/>
    <col min="36" max="36" width="10.83203125" style="4" bestFit="1" customWidth="1"/>
    <col min="37" max="37" width="9" style="4" bestFit="1" customWidth="1"/>
    <col min="38" max="40" width="8.83203125" style="4"/>
    <col min="41" max="41" width="12.5" style="4" customWidth="1"/>
    <col min="42" max="42" width="10.83203125" style="4" bestFit="1" customWidth="1"/>
    <col min="43" max="43" width="9" style="4" bestFit="1" customWidth="1"/>
    <col min="44" max="46" width="8.83203125" style="4"/>
    <col min="47" max="47" width="12.5" style="4" customWidth="1"/>
    <col min="48" max="48" width="10.83203125" style="4" bestFit="1" customWidth="1"/>
    <col min="49" max="49" width="9" style="4" bestFit="1" customWidth="1"/>
    <col min="50" max="52" width="8.83203125" style="4"/>
    <col min="53" max="53" width="12.5" style="4" customWidth="1"/>
    <col min="54" max="54" width="10.83203125" style="4" bestFit="1" customWidth="1"/>
    <col min="55" max="55" width="9" style="4" bestFit="1" customWidth="1"/>
    <col min="56" max="58" width="8.83203125" style="4"/>
    <col min="59" max="59" width="3.33203125" style="4" bestFit="1" customWidth="1"/>
    <col min="60" max="60" width="12.5" style="4" customWidth="1"/>
    <col min="61" max="61" width="10.83203125" style="4" bestFit="1" customWidth="1"/>
    <col min="62" max="62" width="9" style="4" bestFit="1" customWidth="1"/>
    <col min="63" max="65" width="8.83203125" style="4"/>
    <col min="66" max="66" width="12.5" style="4" customWidth="1"/>
    <col min="67" max="67" width="10.83203125" style="4" bestFit="1" customWidth="1"/>
    <col min="68" max="68" width="9" style="4" bestFit="1" customWidth="1"/>
    <col min="69" max="71" width="8.83203125" style="4"/>
    <col min="72" max="72" width="12.5" style="4" customWidth="1"/>
    <col min="73" max="73" width="10.83203125" style="4" bestFit="1" customWidth="1"/>
    <col min="74" max="74" width="9" style="4" bestFit="1" customWidth="1"/>
    <col min="75" max="77" width="8.83203125" style="4"/>
    <col min="78" max="78" width="12.5" style="4" customWidth="1"/>
    <col min="79" max="79" width="10.83203125" style="4" bestFit="1" customWidth="1"/>
    <col min="80" max="80" width="10.83203125" style="4" customWidth="1"/>
    <col min="81" max="83" width="8.83203125" style="4"/>
    <col min="85" max="85" width="9.5" bestFit="1" customWidth="1"/>
  </cols>
  <sheetData>
    <row r="1" spans="1:115" ht="16" thickBot="1" x14ac:dyDescent="0.25">
      <c r="C1" s="19" t="s">
        <v>2</v>
      </c>
      <c r="K1" s="70" t="s">
        <v>858</v>
      </c>
      <c r="L1" s="71"/>
      <c r="M1" s="71"/>
      <c r="N1" s="36"/>
      <c r="O1" s="36"/>
      <c r="P1" s="29"/>
      <c r="T1" s="36"/>
      <c r="U1" s="36"/>
      <c r="V1" s="29"/>
      <c r="Z1" s="36"/>
      <c r="AA1" s="36"/>
      <c r="AB1" s="29"/>
      <c r="AF1" s="36"/>
      <c r="AG1" s="36"/>
      <c r="AH1" s="29"/>
      <c r="AL1" s="25"/>
      <c r="AM1" s="25"/>
      <c r="AN1" s="9"/>
      <c r="AR1" s="25"/>
      <c r="AS1" s="25"/>
      <c r="AT1" s="9"/>
      <c r="AX1" s="25"/>
      <c r="AY1" s="25"/>
      <c r="AZ1" s="9"/>
      <c r="BD1" s="25"/>
      <c r="BE1" s="25"/>
      <c r="BF1" s="9"/>
      <c r="BG1" s="65" t="s">
        <v>876</v>
      </c>
      <c r="BK1" s="25"/>
      <c r="BL1" s="25"/>
      <c r="BM1" s="9"/>
      <c r="BQ1" s="25"/>
      <c r="BR1" s="25"/>
      <c r="BS1" s="9"/>
      <c r="BW1" s="25"/>
      <c r="BX1" s="25"/>
      <c r="BY1" s="9"/>
      <c r="CC1" s="25"/>
      <c r="CD1" s="25"/>
      <c r="CE1" s="9"/>
    </row>
    <row r="2" spans="1:115" x14ac:dyDescent="0.2">
      <c r="A2" s="1" t="s">
        <v>5</v>
      </c>
      <c r="B2" s="1" t="s">
        <v>6</v>
      </c>
      <c r="C2" s="20"/>
      <c r="D2" s="1" t="s">
        <v>8</v>
      </c>
      <c r="E2" s="1" t="s">
        <v>844</v>
      </c>
      <c r="F2" s="1"/>
      <c r="G2" s="9"/>
      <c r="H2" s="52"/>
      <c r="I2" s="63" t="s">
        <v>865</v>
      </c>
      <c r="J2" s="36"/>
      <c r="K2" s="72" t="s">
        <v>866</v>
      </c>
      <c r="L2" s="73"/>
      <c r="M2" s="73"/>
      <c r="N2" s="73"/>
      <c r="O2" s="73"/>
      <c r="P2" s="74"/>
      <c r="Q2" s="75" t="s">
        <v>867</v>
      </c>
      <c r="R2" s="73"/>
      <c r="S2" s="73"/>
      <c r="T2" s="73"/>
      <c r="U2" s="73"/>
      <c r="V2" s="76"/>
      <c r="W2" s="72" t="s">
        <v>868</v>
      </c>
      <c r="X2" s="73"/>
      <c r="Y2" s="73"/>
      <c r="Z2" s="73"/>
      <c r="AA2" s="73"/>
      <c r="AB2" s="73"/>
      <c r="AC2" s="75" t="s">
        <v>869</v>
      </c>
      <c r="AD2" s="73"/>
      <c r="AE2" s="73"/>
      <c r="AF2" s="73"/>
      <c r="AG2" s="73"/>
      <c r="AH2" s="76"/>
      <c r="AI2" s="62" t="s">
        <v>872</v>
      </c>
      <c r="AJ2" s="62"/>
      <c r="AK2" s="62"/>
      <c r="AL2" s="62"/>
      <c r="AM2" s="62"/>
      <c r="AN2" s="62"/>
      <c r="AO2" s="61" t="s">
        <v>873</v>
      </c>
      <c r="AP2" s="62"/>
      <c r="AQ2" s="62"/>
      <c r="AR2" s="62"/>
      <c r="AS2" s="62"/>
      <c r="AT2" s="62"/>
      <c r="AU2" s="61" t="s">
        <v>874</v>
      </c>
      <c r="AV2" s="62"/>
      <c r="AW2" s="62"/>
      <c r="AX2" s="62"/>
      <c r="AY2" s="62"/>
      <c r="AZ2" s="62"/>
      <c r="BA2" s="61" t="s">
        <v>875</v>
      </c>
      <c r="BB2" s="62"/>
      <c r="BC2" s="62"/>
      <c r="BD2" s="62"/>
      <c r="BE2" s="62"/>
      <c r="BF2" s="62"/>
      <c r="BG2" s="65"/>
      <c r="BH2" s="61" t="s">
        <v>863</v>
      </c>
      <c r="BI2" s="62"/>
      <c r="BJ2" s="62"/>
      <c r="BK2" s="62"/>
      <c r="BL2" s="62"/>
      <c r="BM2" s="62"/>
      <c r="BN2" s="61" t="s">
        <v>863</v>
      </c>
      <c r="BO2" s="62"/>
      <c r="BP2" s="62"/>
      <c r="BQ2" s="62"/>
      <c r="BR2" s="62"/>
      <c r="BS2" s="62"/>
      <c r="BT2" s="61" t="s">
        <v>863</v>
      </c>
      <c r="BU2" s="62"/>
      <c r="BV2" s="62"/>
      <c r="BW2" s="62"/>
      <c r="BX2" s="62"/>
      <c r="BY2" s="62"/>
      <c r="BZ2" s="61" t="s">
        <v>863</v>
      </c>
      <c r="CA2" s="62"/>
      <c r="CB2" s="62"/>
      <c r="CC2" s="62"/>
      <c r="CD2" s="62"/>
      <c r="CE2" s="62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15" ht="48" x14ac:dyDescent="0.2">
      <c r="A3" s="2" t="s">
        <v>11</v>
      </c>
      <c r="B3" s="2">
        <v>1</v>
      </c>
      <c r="C3" s="56" t="s">
        <v>7</v>
      </c>
      <c r="D3" s="2" t="s">
        <v>13</v>
      </c>
      <c r="E3" s="2"/>
      <c r="F3" s="2"/>
      <c r="G3" s="9" t="s">
        <v>864</v>
      </c>
      <c r="H3" s="24" t="s">
        <v>877</v>
      </c>
      <c r="I3" s="64"/>
      <c r="J3" s="56" t="s">
        <v>879</v>
      </c>
      <c r="K3" s="42" t="s">
        <v>859</v>
      </c>
      <c r="L3" s="9" t="s">
        <v>860</v>
      </c>
      <c r="M3" s="9" t="s">
        <v>861</v>
      </c>
      <c r="N3" s="9" t="s">
        <v>870</v>
      </c>
      <c r="O3" s="18" t="s">
        <v>878</v>
      </c>
      <c r="P3" s="9" t="s">
        <v>862</v>
      </c>
      <c r="Q3" s="18" t="s">
        <v>859</v>
      </c>
      <c r="R3" s="9" t="s">
        <v>860</v>
      </c>
      <c r="S3" s="9" t="s">
        <v>861</v>
      </c>
      <c r="T3" s="9" t="s">
        <v>870</v>
      </c>
      <c r="U3" s="18" t="s">
        <v>878</v>
      </c>
      <c r="V3" s="43" t="s">
        <v>862</v>
      </c>
      <c r="W3" s="42" t="s">
        <v>859</v>
      </c>
      <c r="X3" s="9" t="s">
        <v>860</v>
      </c>
      <c r="Y3" s="9" t="s">
        <v>861</v>
      </c>
      <c r="Z3" s="9" t="s">
        <v>870</v>
      </c>
      <c r="AA3" s="18" t="s">
        <v>878</v>
      </c>
      <c r="AB3" s="9" t="s">
        <v>862</v>
      </c>
      <c r="AC3" s="18" t="s">
        <v>859</v>
      </c>
      <c r="AD3" s="9" t="s">
        <v>860</v>
      </c>
      <c r="AE3" s="9" t="s">
        <v>861</v>
      </c>
      <c r="AF3" s="9" t="s">
        <v>870</v>
      </c>
      <c r="AG3" s="18" t="s">
        <v>878</v>
      </c>
      <c r="AH3" s="43" t="s">
        <v>862</v>
      </c>
      <c r="AI3" s="28" t="s">
        <v>859</v>
      </c>
      <c r="AJ3" s="9" t="s">
        <v>860</v>
      </c>
      <c r="AK3" s="9" t="s">
        <v>861</v>
      </c>
      <c r="AL3" s="9" t="s">
        <v>870</v>
      </c>
      <c r="AM3" s="18" t="s">
        <v>878</v>
      </c>
      <c r="AN3" s="9" t="s">
        <v>862</v>
      </c>
      <c r="AO3" s="18" t="s">
        <v>859</v>
      </c>
      <c r="AP3" s="9" t="s">
        <v>860</v>
      </c>
      <c r="AQ3" s="9" t="s">
        <v>861</v>
      </c>
      <c r="AR3" s="9" t="s">
        <v>870</v>
      </c>
      <c r="AS3" s="18" t="s">
        <v>878</v>
      </c>
      <c r="AT3" s="9" t="s">
        <v>862</v>
      </c>
      <c r="AU3" s="18" t="s">
        <v>859</v>
      </c>
      <c r="AV3" s="9" t="s">
        <v>860</v>
      </c>
      <c r="AW3" s="9" t="s">
        <v>861</v>
      </c>
      <c r="AX3" s="9" t="s">
        <v>870</v>
      </c>
      <c r="AY3" s="18" t="s">
        <v>878</v>
      </c>
      <c r="AZ3" s="9" t="s">
        <v>862</v>
      </c>
      <c r="BA3" s="18" t="s">
        <v>859</v>
      </c>
      <c r="BB3" s="9" t="s">
        <v>860</v>
      </c>
      <c r="BC3" s="9" t="s">
        <v>861</v>
      </c>
      <c r="BD3" s="9" t="s">
        <v>870</v>
      </c>
      <c r="BE3" s="18" t="s">
        <v>878</v>
      </c>
      <c r="BF3" s="9" t="s">
        <v>862</v>
      </c>
      <c r="BG3" s="66"/>
      <c r="BH3" s="18" t="s">
        <v>859</v>
      </c>
      <c r="BI3" s="9" t="s">
        <v>860</v>
      </c>
      <c r="BJ3" s="9" t="s">
        <v>861</v>
      </c>
      <c r="BK3" s="9" t="s">
        <v>870</v>
      </c>
      <c r="BL3" s="9" t="s">
        <v>871</v>
      </c>
      <c r="BM3" s="9" t="s">
        <v>862</v>
      </c>
      <c r="BN3" s="18" t="s">
        <v>859</v>
      </c>
      <c r="BO3" s="9" t="s">
        <v>860</v>
      </c>
      <c r="BP3" s="9" t="s">
        <v>861</v>
      </c>
      <c r="BQ3" s="9" t="s">
        <v>870</v>
      </c>
      <c r="BR3" s="9" t="s">
        <v>871</v>
      </c>
      <c r="BS3" s="9" t="s">
        <v>862</v>
      </c>
      <c r="BT3" s="18" t="s">
        <v>859</v>
      </c>
      <c r="BU3" s="9" t="s">
        <v>860</v>
      </c>
      <c r="BV3" s="9" t="s">
        <v>861</v>
      </c>
      <c r="BW3" s="9" t="s">
        <v>870</v>
      </c>
      <c r="BX3" s="9" t="s">
        <v>871</v>
      </c>
      <c r="BY3" s="9" t="s">
        <v>862</v>
      </c>
      <c r="BZ3" s="18" t="s">
        <v>859</v>
      </c>
      <c r="CA3" s="9" t="s">
        <v>860</v>
      </c>
      <c r="CB3" s="9" t="s">
        <v>861</v>
      </c>
      <c r="CC3" s="9" t="s">
        <v>870</v>
      </c>
      <c r="CD3" s="9" t="s">
        <v>871</v>
      </c>
      <c r="CE3" s="9" t="s">
        <v>862</v>
      </c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</row>
    <row r="4" spans="1:115" ht="16" x14ac:dyDescent="0.2">
      <c r="A4" s="3" t="s">
        <v>14</v>
      </c>
      <c r="B4" s="3">
        <v>1</v>
      </c>
      <c r="C4" s="21" t="s">
        <v>12</v>
      </c>
      <c r="D4" s="3" t="s">
        <v>13</v>
      </c>
      <c r="E4" s="3">
        <v>1</v>
      </c>
      <c r="F4" s="3"/>
      <c r="G4" s="30" t="e">
        <f>H4*0.7</f>
        <v>#DIV/0!</v>
      </c>
      <c r="H4" s="33" t="e">
        <f>IF(I4&gt;=100,100,I4)</f>
        <v>#DIV/0!</v>
      </c>
      <c r="I4" s="33" t="e">
        <f>P4*10+V4*10+AB4*15+AH4*15+AN4*15+AT4*15+AZ4*20+BF4*20+J4</f>
        <v>#DIV/0!</v>
      </c>
      <c r="J4" s="57"/>
      <c r="K4" s="44"/>
      <c r="L4" s="5"/>
      <c r="M4" s="5"/>
      <c r="N4" s="5"/>
      <c r="O4" s="5"/>
      <c r="P4" s="48" t="e">
        <f>AVERAGE(K4:O4)</f>
        <v>#DIV/0!</v>
      </c>
      <c r="Q4" s="44"/>
      <c r="R4" s="5"/>
      <c r="S4" s="5"/>
      <c r="T4" s="5"/>
      <c r="U4" s="5"/>
      <c r="V4" s="48" t="e">
        <f>AVERAGE(Q4:U4)</f>
        <v>#DIV/0!</v>
      </c>
      <c r="W4" s="44"/>
      <c r="X4" s="5"/>
      <c r="Y4" s="5"/>
      <c r="Z4" s="5"/>
      <c r="AA4" s="5"/>
      <c r="AB4" s="48" t="e">
        <f>AVERAGE(W4:AA4)</f>
        <v>#DIV/0!</v>
      </c>
      <c r="AC4" s="44"/>
      <c r="AD4" s="5"/>
      <c r="AE4" s="5"/>
      <c r="AF4" s="5"/>
      <c r="AG4" s="5"/>
      <c r="AH4" s="48" t="e">
        <f>AVERAGE(AC4:AG4)</f>
        <v>#DIV/0!</v>
      </c>
      <c r="AI4" s="44"/>
      <c r="AJ4" s="5"/>
      <c r="AK4" s="5"/>
      <c r="AL4" s="5"/>
      <c r="AM4" s="5"/>
      <c r="AN4" s="48" t="e">
        <f>AVERAGE(AI4:AM4)</f>
        <v>#DIV/0!</v>
      </c>
      <c r="AO4" s="44"/>
      <c r="AP4" s="5"/>
      <c r="AQ4" s="5"/>
      <c r="AR4" s="5"/>
      <c r="AS4" s="5"/>
      <c r="AT4" s="48" t="e">
        <f>AVERAGE(AO4:AS4)</f>
        <v>#DIV/0!</v>
      </c>
      <c r="AU4" s="44"/>
      <c r="AV4" s="5"/>
      <c r="AW4" s="5"/>
      <c r="AX4" s="5"/>
      <c r="AY4" s="5"/>
      <c r="AZ4" s="48" t="e">
        <f>AVERAGE(AU4:AY4)</f>
        <v>#DIV/0!</v>
      </c>
      <c r="BA4" s="44"/>
      <c r="BB4" s="5"/>
      <c r="BC4" s="5"/>
      <c r="BD4" s="5"/>
      <c r="BE4" s="5"/>
      <c r="BF4" s="48" t="e">
        <f>AVERAGE(BA4:BE4)</f>
        <v>#DIV/0!</v>
      </c>
      <c r="BG4" s="67"/>
      <c r="BH4" s="44"/>
      <c r="BI4" s="5"/>
      <c r="BJ4" s="5"/>
      <c r="BK4" s="5"/>
      <c r="BL4" s="5"/>
      <c r="BM4" s="48">
        <f>SUM(BH4:BL4)/5</f>
        <v>0</v>
      </c>
      <c r="BN4" s="44"/>
      <c r="BO4" s="5"/>
      <c r="BP4" s="5"/>
      <c r="BQ4" s="5"/>
      <c r="BR4" s="5"/>
      <c r="BS4" s="48">
        <f>SUM(BN4:BR4)/5</f>
        <v>0</v>
      </c>
      <c r="BT4" s="5"/>
      <c r="BU4" s="5"/>
      <c r="BV4" s="5"/>
      <c r="BW4" s="5"/>
      <c r="BX4" s="5"/>
      <c r="BY4" s="48">
        <f>SUM(BT4:BX4)/5</f>
        <v>0</v>
      </c>
      <c r="BZ4" s="5"/>
      <c r="CA4" s="5"/>
      <c r="CB4" s="5"/>
      <c r="CC4" s="5"/>
      <c r="CD4" s="5"/>
      <c r="CE4" s="48">
        <f>SUM(BZ4:CD4)/5</f>
        <v>0</v>
      </c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 ht="16" x14ac:dyDescent="0.2">
      <c r="A5" s="2" t="s">
        <v>16</v>
      </c>
      <c r="B5" s="2">
        <v>1</v>
      </c>
      <c r="C5" s="22" t="s">
        <v>15</v>
      </c>
      <c r="D5" s="2" t="s">
        <v>13</v>
      </c>
      <c r="E5" s="2">
        <v>1</v>
      </c>
      <c r="F5" s="2"/>
      <c r="G5" s="30" t="e">
        <f t="shared" ref="G5:G34" si="0">H5*0.7</f>
        <v>#DIV/0!</v>
      </c>
      <c r="H5" s="33" t="e">
        <f t="shared" ref="H5:H34" si="1">IF(I5&gt;=100,100,I5)</f>
        <v>#DIV/0!</v>
      </c>
      <c r="I5" s="33" t="e">
        <f t="shared" ref="I5:I34" si="2">P5*10+V5*10+AB5*15+AH5*15+AN5*15+AT5*15+AZ5*20+BF5*20+J5</f>
        <v>#DIV/0!</v>
      </c>
      <c r="J5" s="57"/>
      <c r="K5" s="45"/>
      <c r="L5" s="7"/>
      <c r="M5" s="7"/>
      <c r="N5" s="7"/>
      <c r="O5" s="7"/>
      <c r="P5" s="48" t="e">
        <f t="shared" ref="P5:P34" si="3">AVERAGE(K5:O5)</f>
        <v>#DIV/0!</v>
      </c>
      <c r="Q5" s="45"/>
      <c r="R5" s="7"/>
      <c r="S5" s="7"/>
      <c r="T5" s="7"/>
      <c r="U5" s="7"/>
      <c r="V5" s="48" t="e">
        <f t="shared" ref="V5:V34" si="4">AVERAGE(Q5:U5)</f>
        <v>#DIV/0!</v>
      </c>
      <c r="W5" s="45"/>
      <c r="X5" s="7"/>
      <c r="Y5" s="7"/>
      <c r="Z5" s="7"/>
      <c r="AA5" s="7"/>
      <c r="AB5" s="48" t="e">
        <f t="shared" ref="AB5:AB34" si="5">AVERAGE(W5:AA5)</f>
        <v>#DIV/0!</v>
      </c>
      <c r="AC5" s="45"/>
      <c r="AD5" s="7"/>
      <c r="AE5" s="7"/>
      <c r="AF5" s="7"/>
      <c r="AG5" s="7"/>
      <c r="AH5" s="48" t="e">
        <f t="shared" ref="AH5:AH34" si="6">AVERAGE(AC5:AG5)</f>
        <v>#DIV/0!</v>
      </c>
      <c r="AI5" s="45"/>
      <c r="AJ5" s="7"/>
      <c r="AK5" s="7"/>
      <c r="AL5" s="7"/>
      <c r="AM5" s="7"/>
      <c r="AN5" s="48" t="e">
        <f t="shared" ref="AN5:AN34" si="7">AVERAGE(AI5:AM5)</f>
        <v>#DIV/0!</v>
      </c>
      <c r="AO5" s="45"/>
      <c r="AP5" s="7"/>
      <c r="AQ5" s="7"/>
      <c r="AR5" s="7"/>
      <c r="AS5" s="7"/>
      <c r="AT5" s="48" t="e">
        <f t="shared" ref="AT5:AT34" si="8">AVERAGE(AO5:AS5)</f>
        <v>#DIV/0!</v>
      </c>
      <c r="AU5" s="45"/>
      <c r="AV5" s="7"/>
      <c r="AW5" s="7"/>
      <c r="AX5" s="7"/>
      <c r="AY5" s="7"/>
      <c r="AZ5" s="48" t="e">
        <f t="shared" ref="AZ5:AZ34" si="9">AVERAGE(AU5:AY5)</f>
        <v>#DIV/0!</v>
      </c>
      <c r="BA5" s="45"/>
      <c r="BB5" s="7"/>
      <c r="BC5" s="7"/>
      <c r="BD5" s="7"/>
      <c r="BE5" s="7"/>
      <c r="BF5" s="48" t="e">
        <f t="shared" ref="BF5:BF34" si="10">AVERAGE(BA5:BE5)</f>
        <v>#DIV/0!</v>
      </c>
      <c r="BG5" s="68"/>
      <c r="BH5" s="45"/>
      <c r="BI5" s="7"/>
      <c r="BJ5" s="7"/>
      <c r="BK5" s="7"/>
      <c r="BL5" s="7"/>
      <c r="BM5" s="48">
        <f t="shared" ref="BM5:BM34" si="11">SUM(BH5:BL5)/5</f>
        <v>0</v>
      </c>
      <c r="BN5" s="45"/>
      <c r="BO5" s="7"/>
      <c r="BP5" s="7"/>
      <c r="BQ5" s="7"/>
      <c r="BR5" s="7"/>
      <c r="BS5" s="48">
        <f t="shared" ref="BS5:BS34" si="12">SUM(BN5:BR5)/5</f>
        <v>0</v>
      </c>
      <c r="BT5" s="7"/>
      <c r="BU5" s="7"/>
      <c r="BV5" s="7"/>
      <c r="BW5" s="7"/>
      <c r="BX5" s="7"/>
      <c r="BY5" s="48">
        <f t="shared" ref="BY5:BY34" si="13">SUM(BT5:BX5)/5</f>
        <v>0</v>
      </c>
      <c r="BZ5" s="7"/>
      <c r="CA5" s="7"/>
      <c r="CB5" s="7"/>
      <c r="CC5" s="7"/>
      <c r="CD5" s="7"/>
      <c r="CE5" s="48">
        <f t="shared" ref="CE5:CE34" si="14">SUM(BZ5:CD5)/5</f>
        <v>0</v>
      </c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</row>
    <row r="6" spans="1:115" ht="16" x14ac:dyDescent="0.2">
      <c r="A6" s="3" t="s">
        <v>18</v>
      </c>
      <c r="B6" s="3">
        <v>1</v>
      </c>
      <c r="C6" s="21" t="s">
        <v>17</v>
      </c>
      <c r="D6" s="3" t="s">
        <v>13</v>
      </c>
      <c r="E6" s="3">
        <v>1</v>
      </c>
      <c r="F6" s="3"/>
      <c r="G6" s="30">
        <f t="shared" si="0"/>
        <v>64.819999999999993</v>
      </c>
      <c r="H6" s="33">
        <f t="shared" si="1"/>
        <v>92.6</v>
      </c>
      <c r="I6" s="33">
        <f t="shared" si="2"/>
        <v>92.6</v>
      </c>
      <c r="J6" s="57">
        <v>15</v>
      </c>
      <c r="K6" s="44">
        <v>1</v>
      </c>
      <c r="L6" s="5">
        <v>1</v>
      </c>
      <c r="M6" s="5">
        <v>1</v>
      </c>
      <c r="N6" s="5">
        <v>1</v>
      </c>
      <c r="O6" s="5">
        <v>1</v>
      </c>
      <c r="P6" s="48">
        <f t="shared" si="3"/>
        <v>1</v>
      </c>
      <c r="Q6" s="44">
        <v>1</v>
      </c>
      <c r="R6" s="5">
        <v>1</v>
      </c>
      <c r="S6" s="5">
        <v>1</v>
      </c>
      <c r="T6" s="5">
        <v>1</v>
      </c>
      <c r="U6" s="5">
        <v>1</v>
      </c>
      <c r="V6" s="48">
        <f t="shared" si="4"/>
        <v>1</v>
      </c>
      <c r="W6" s="44">
        <v>1</v>
      </c>
      <c r="X6" s="5">
        <v>0.8</v>
      </c>
      <c r="Y6" s="5">
        <v>0.8</v>
      </c>
      <c r="Z6" s="5">
        <v>0.8</v>
      </c>
      <c r="AA6" s="5">
        <v>0.8</v>
      </c>
      <c r="AB6" s="48">
        <f t="shared" si="5"/>
        <v>0.84000000000000008</v>
      </c>
      <c r="AC6" s="44">
        <v>1</v>
      </c>
      <c r="AD6" s="5">
        <v>1</v>
      </c>
      <c r="AE6" s="5">
        <v>1</v>
      </c>
      <c r="AF6" s="5">
        <v>1</v>
      </c>
      <c r="AG6" s="5">
        <v>1</v>
      </c>
      <c r="AH6" s="48">
        <f t="shared" si="6"/>
        <v>1</v>
      </c>
      <c r="AI6" s="44">
        <v>1</v>
      </c>
      <c r="AJ6" s="5">
        <v>1</v>
      </c>
      <c r="AK6" s="5">
        <v>1</v>
      </c>
      <c r="AL6" s="5">
        <v>1</v>
      </c>
      <c r="AM6" s="5">
        <v>1</v>
      </c>
      <c r="AN6" s="48">
        <f t="shared" si="7"/>
        <v>1</v>
      </c>
      <c r="AO6" s="44">
        <v>1</v>
      </c>
      <c r="AP6" s="5">
        <v>1</v>
      </c>
      <c r="AQ6" s="5">
        <v>1</v>
      </c>
      <c r="AR6" s="5">
        <v>1</v>
      </c>
      <c r="AS6" s="5">
        <v>1</v>
      </c>
      <c r="AT6" s="48">
        <f t="shared" si="8"/>
        <v>1</v>
      </c>
      <c r="AU6" s="44">
        <v>0</v>
      </c>
      <c r="AV6" s="5">
        <v>0</v>
      </c>
      <c r="AW6" s="5">
        <v>0</v>
      </c>
      <c r="AX6" s="5">
        <v>0</v>
      </c>
      <c r="AY6" s="5">
        <v>0</v>
      </c>
      <c r="AZ6" s="48">
        <f t="shared" si="9"/>
        <v>0</v>
      </c>
      <c r="BA6" s="44">
        <v>0</v>
      </c>
      <c r="BB6" s="5"/>
      <c r="BC6" s="5">
        <v>0</v>
      </c>
      <c r="BD6" s="5">
        <v>0</v>
      </c>
      <c r="BE6" s="5">
        <v>0</v>
      </c>
      <c r="BF6" s="48">
        <f t="shared" si="10"/>
        <v>0</v>
      </c>
      <c r="BG6" s="68"/>
      <c r="BH6" s="44"/>
      <c r="BI6" s="5"/>
      <c r="BJ6" s="5"/>
      <c r="BK6" s="5"/>
      <c r="BL6" s="5"/>
      <c r="BM6" s="48">
        <f t="shared" si="11"/>
        <v>0</v>
      </c>
      <c r="BN6" s="44"/>
      <c r="BO6" s="5"/>
      <c r="BP6" s="5"/>
      <c r="BQ6" s="5"/>
      <c r="BR6" s="5"/>
      <c r="BS6" s="48">
        <f t="shared" si="12"/>
        <v>0</v>
      </c>
      <c r="BT6" s="5"/>
      <c r="BU6" s="5"/>
      <c r="BV6" s="5"/>
      <c r="BW6" s="5"/>
      <c r="BX6" s="5"/>
      <c r="BY6" s="48">
        <f t="shared" si="13"/>
        <v>0</v>
      </c>
      <c r="BZ6" s="5"/>
      <c r="CA6" s="5"/>
      <c r="CB6" s="5"/>
      <c r="CC6" s="5"/>
      <c r="CD6" s="5"/>
      <c r="CE6" s="48">
        <f t="shared" si="14"/>
        <v>0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 ht="16" x14ac:dyDescent="0.2">
      <c r="A7" s="2" t="s">
        <v>20</v>
      </c>
      <c r="B7" s="2">
        <v>1</v>
      </c>
      <c r="C7" s="22" t="s">
        <v>19</v>
      </c>
      <c r="D7" s="2" t="s">
        <v>13</v>
      </c>
      <c r="E7" s="2">
        <v>1</v>
      </c>
      <c r="F7" s="2">
        <v>1</v>
      </c>
      <c r="G7" s="30" t="e">
        <f t="shared" si="0"/>
        <v>#DIV/0!</v>
      </c>
      <c r="H7" s="33" t="e">
        <f t="shared" si="1"/>
        <v>#DIV/0!</v>
      </c>
      <c r="I7" s="33" t="e">
        <f t="shared" si="2"/>
        <v>#DIV/0!</v>
      </c>
      <c r="J7" s="57"/>
      <c r="K7" s="45"/>
      <c r="L7" s="7"/>
      <c r="M7" s="7"/>
      <c r="N7" s="7"/>
      <c r="O7" s="7"/>
      <c r="P7" s="48" t="e">
        <f t="shared" si="3"/>
        <v>#DIV/0!</v>
      </c>
      <c r="Q7" s="45"/>
      <c r="R7" s="7"/>
      <c r="S7" s="7"/>
      <c r="T7" s="7"/>
      <c r="U7" s="7"/>
      <c r="V7" s="48" t="e">
        <f t="shared" si="4"/>
        <v>#DIV/0!</v>
      </c>
      <c r="W7" s="45"/>
      <c r="X7" s="7"/>
      <c r="Y7" s="7"/>
      <c r="Z7" s="7"/>
      <c r="AA7" s="7"/>
      <c r="AB7" s="48" t="e">
        <f t="shared" si="5"/>
        <v>#DIV/0!</v>
      </c>
      <c r="AC7" s="45"/>
      <c r="AD7" s="7"/>
      <c r="AE7" s="7"/>
      <c r="AF7" s="7"/>
      <c r="AG7" s="7"/>
      <c r="AH7" s="48" t="e">
        <f t="shared" si="6"/>
        <v>#DIV/0!</v>
      </c>
      <c r="AI7" s="45"/>
      <c r="AJ7" s="7"/>
      <c r="AK7" s="7"/>
      <c r="AL7" s="7"/>
      <c r="AM7" s="7"/>
      <c r="AN7" s="48" t="e">
        <f t="shared" si="7"/>
        <v>#DIV/0!</v>
      </c>
      <c r="AO7" s="45"/>
      <c r="AP7" s="7"/>
      <c r="AQ7" s="7"/>
      <c r="AR7" s="7"/>
      <c r="AS7" s="7"/>
      <c r="AT7" s="48" t="e">
        <f t="shared" si="8"/>
        <v>#DIV/0!</v>
      </c>
      <c r="AU7" s="45"/>
      <c r="AV7" s="7"/>
      <c r="AW7" s="7"/>
      <c r="AX7" s="7"/>
      <c r="AY7" s="7"/>
      <c r="AZ7" s="48" t="e">
        <f t="shared" si="9"/>
        <v>#DIV/0!</v>
      </c>
      <c r="BA7" s="45"/>
      <c r="BB7" s="7"/>
      <c r="BC7" s="7"/>
      <c r="BD7" s="7"/>
      <c r="BE7" s="7"/>
      <c r="BF7" s="48" t="e">
        <f t="shared" si="10"/>
        <v>#DIV/0!</v>
      </c>
      <c r="BG7" s="68"/>
      <c r="BH7" s="45"/>
      <c r="BI7" s="7"/>
      <c r="BJ7" s="7"/>
      <c r="BK7" s="7"/>
      <c r="BL7" s="7"/>
      <c r="BM7" s="48">
        <f t="shared" si="11"/>
        <v>0</v>
      </c>
      <c r="BN7" s="45"/>
      <c r="BO7" s="7"/>
      <c r="BP7" s="7"/>
      <c r="BQ7" s="7"/>
      <c r="BR7" s="7"/>
      <c r="BS7" s="48">
        <f t="shared" si="12"/>
        <v>0</v>
      </c>
      <c r="BT7" s="7"/>
      <c r="BU7" s="7"/>
      <c r="BV7" s="7"/>
      <c r="BW7" s="7"/>
      <c r="BX7" s="7"/>
      <c r="BY7" s="48">
        <f t="shared" si="13"/>
        <v>0</v>
      </c>
      <c r="BZ7" s="7"/>
      <c r="CA7" s="7"/>
      <c r="CB7" s="7"/>
      <c r="CC7" s="7"/>
      <c r="CD7" s="7"/>
      <c r="CE7" s="48">
        <f t="shared" si="14"/>
        <v>0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</row>
    <row r="8" spans="1:115" ht="16" x14ac:dyDescent="0.2">
      <c r="A8" s="3" t="s">
        <v>22</v>
      </c>
      <c r="B8" s="3">
        <v>1</v>
      </c>
      <c r="C8" s="21" t="s">
        <v>21</v>
      </c>
      <c r="D8" s="3" t="s">
        <v>13</v>
      </c>
      <c r="E8" s="3">
        <v>1</v>
      </c>
      <c r="F8" s="3"/>
      <c r="G8" s="30" t="e">
        <f t="shared" si="0"/>
        <v>#DIV/0!</v>
      </c>
      <c r="H8" s="33" t="e">
        <f t="shared" si="1"/>
        <v>#DIV/0!</v>
      </c>
      <c r="I8" s="33" t="e">
        <f t="shared" si="2"/>
        <v>#DIV/0!</v>
      </c>
      <c r="J8" s="57"/>
      <c r="K8" s="44"/>
      <c r="L8" s="5"/>
      <c r="M8" s="5"/>
      <c r="N8" s="5"/>
      <c r="O8" s="5"/>
      <c r="P8" s="48" t="e">
        <f t="shared" si="3"/>
        <v>#DIV/0!</v>
      </c>
      <c r="Q8" s="44"/>
      <c r="R8" s="5"/>
      <c r="S8" s="5"/>
      <c r="T8" s="5"/>
      <c r="U8" s="5"/>
      <c r="V8" s="48" t="e">
        <f t="shared" si="4"/>
        <v>#DIV/0!</v>
      </c>
      <c r="W8" s="44"/>
      <c r="X8" s="5"/>
      <c r="Y8" s="5"/>
      <c r="Z8" s="5"/>
      <c r="AA8" s="5"/>
      <c r="AB8" s="48" t="e">
        <f t="shared" si="5"/>
        <v>#DIV/0!</v>
      </c>
      <c r="AC8" s="44"/>
      <c r="AD8" s="5"/>
      <c r="AE8" s="5"/>
      <c r="AF8" s="5"/>
      <c r="AG8" s="5"/>
      <c r="AH8" s="48" t="e">
        <f t="shared" si="6"/>
        <v>#DIV/0!</v>
      </c>
      <c r="AI8" s="44"/>
      <c r="AJ8" s="5"/>
      <c r="AK8" s="5"/>
      <c r="AL8" s="5"/>
      <c r="AM8" s="5"/>
      <c r="AN8" s="48" t="e">
        <f t="shared" si="7"/>
        <v>#DIV/0!</v>
      </c>
      <c r="AO8" s="44"/>
      <c r="AP8" s="5"/>
      <c r="AQ8" s="5"/>
      <c r="AR8" s="5"/>
      <c r="AS8" s="5"/>
      <c r="AT8" s="48" t="e">
        <f t="shared" si="8"/>
        <v>#DIV/0!</v>
      </c>
      <c r="AU8" s="44"/>
      <c r="AV8" s="5"/>
      <c r="AW8" s="5"/>
      <c r="AX8" s="5"/>
      <c r="AY8" s="5"/>
      <c r="AZ8" s="48" t="e">
        <f t="shared" si="9"/>
        <v>#DIV/0!</v>
      </c>
      <c r="BA8" s="44"/>
      <c r="BB8" s="5"/>
      <c r="BC8" s="5"/>
      <c r="BD8" s="5"/>
      <c r="BE8" s="5"/>
      <c r="BF8" s="48" t="e">
        <f t="shared" si="10"/>
        <v>#DIV/0!</v>
      </c>
      <c r="BG8" s="68"/>
      <c r="BH8" s="44"/>
      <c r="BI8" s="5"/>
      <c r="BJ8" s="5"/>
      <c r="BK8" s="5"/>
      <c r="BL8" s="5"/>
      <c r="BM8" s="48">
        <f t="shared" si="11"/>
        <v>0</v>
      </c>
      <c r="BN8" s="44"/>
      <c r="BO8" s="5"/>
      <c r="BP8" s="5"/>
      <c r="BQ8" s="5"/>
      <c r="BR8" s="5"/>
      <c r="BS8" s="48">
        <f t="shared" si="12"/>
        <v>0</v>
      </c>
      <c r="BT8" s="5"/>
      <c r="BU8" s="5"/>
      <c r="BV8" s="5"/>
      <c r="BW8" s="5"/>
      <c r="BX8" s="5"/>
      <c r="BY8" s="48">
        <f t="shared" si="13"/>
        <v>0</v>
      </c>
      <c r="BZ8" s="5"/>
      <c r="CA8" s="5"/>
      <c r="CB8" s="5"/>
      <c r="CC8" s="5"/>
      <c r="CD8" s="5"/>
      <c r="CE8" s="48">
        <f t="shared" si="14"/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 ht="16" x14ac:dyDescent="0.2">
      <c r="A9" s="2" t="s">
        <v>24</v>
      </c>
      <c r="B9" s="2">
        <v>1</v>
      </c>
      <c r="C9" s="22" t="s">
        <v>23</v>
      </c>
      <c r="D9" s="2" t="s">
        <v>13</v>
      </c>
      <c r="E9" s="2">
        <v>1</v>
      </c>
      <c r="F9" s="2"/>
      <c r="G9" s="30" t="e">
        <f>H9*0.7</f>
        <v>#DIV/0!</v>
      </c>
      <c r="H9" s="33" t="e">
        <f>IF(I9&gt;=100,100,I9)</f>
        <v>#DIV/0!</v>
      </c>
      <c r="I9" s="33" t="e">
        <f>P9*10+V9*10+AB9*15+AH9*15+AN9*15+AT9*15+AZ9*20+BF9*20+J9</f>
        <v>#DIV/0!</v>
      </c>
      <c r="J9" s="57"/>
      <c r="K9" s="45"/>
      <c r="L9" s="7"/>
      <c r="M9" s="7"/>
      <c r="N9" s="7"/>
      <c r="O9" s="7"/>
      <c r="P9" s="48" t="e">
        <f t="shared" si="3"/>
        <v>#DIV/0!</v>
      </c>
      <c r="Q9" s="45"/>
      <c r="R9" s="7"/>
      <c r="S9" s="7"/>
      <c r="T9" s="7"/>
      <c r="U9" s="7"/>
      <c r="V9" s="48" t="e">
        <f t="shared" si="4"/>
        <v>#DIV/0!</v>
      </c>
      <c r="W9" s="45"/>
      <c r="X9" s="7"/>
      <c r="Y9" s="7"/>
      <c r="Z9" s="7"/>
      <c r="AA9" s="7"/>
      <c r="AB9" s="48" t="e">
        <f t="shared" si="5"/>
        <v>#DIV/0!</v>
      </c>
      <c r="AC9" s="45"/>
      <c r="AD9" s="7"/>
      <c r="AE9" s="7"/>
      <c r="AF9" s="7"/>
      <c r="AG9" s="7"/>
      <c r="AH9" s="48" t="e">
        <f t="shared" si="6"/>
        <v>#DIV/0!</v>
      </c>
      <c r="AI9" s="45"/>
      <c r="AJ9" s="7"/>
      <c r="AK9" s="7"/>
      <c r="AL9" s="7"/>
      <c r="AM9" s="7"/>
      <c r="AN9" s="48" t="e">
        <f t="shared" si="7"/>
        <v>#DIV/0!</v>
      </c>
      <c r="AO9" s="45"/>
      <c r="AP9" s="7"/>
      <c r="AQ9" s="7"/>
      <c r="AR9" s="7"/>
      <c r="AS9" s="7"/>
      <c r="AT9" s="48" t="e">
        <f t="shared" si="8"/>
        <v>#DIV/0!</v>
      </c>
      <c r="AU9" s="45"/>
      <c r="AV9" s="7"/>
      <c r="AW9" s="7"/>
      <c r="AX9" s="7"/>
      <c r="AY9" s="7"/>
      <c r="AZ9" s="48" t="e">
        <f t="shared" si="9"/>
        <v>#DIV/0!</v>
      </c>
      <c r="BA9" s="45"/>
      <c r="BB9" s="7"/>
      <c r="BC9" s="7"/>
      <c r="BD9" s="7"/>
      <c r="BE9" s="7"/>
      <c r="BF9" s="48" t="e">
        <f t="shared" si="10"/>
        <v>#DIV/0!</v>
      </c>
      <c r="BG9" s="68"/>
      <c r="BH9" s="45"/>
      <c r="BI9" s="7"/>
      <c r="BJ9" s="7"/>
      <c r="BK9" s="7"/>
      <c r="BL9" s="7"/>
      <c r="BM9" s="48">
        <f t="shared" si="11"/>
        <v>0</v>
      </c>
      <c r="BN9" s="45"/>
      <c r="BO9" s="7"/>
      <c r="BP9" s="7"/>
      <c r="BQ9" s="7"/>
      <c r="BR9" s="7"/>
      <c r="BS9" s="48">
        <f t="shared" si="12"/>
        <v>0</v>
      </c>
      <c r="BT9" s="7"/>
      <c r="BU9" s="7"/>
      <c r="BV9" s="7"/>
      <c r="BW9" s="7"/>
      <c r="BX9" s="7"/>
      <c r="BY9" s="48">
        <f t="shared" si="13"/>
        <v>0</v>
      </c>
      <c r="BZ9" s="7"/>
      <c r="CA9" s="7"/>
      <c r="CB9" s="7"/>
      <c r="CC9" s="7"/>
      <c r="CD9" s="7"/>
      <c r="CE9" s="48">
        <f t="shared" si="14"/>
        <v>0</v>
      </c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</row>
    <row r="10" spans="1:115" ht="16" x14ac:dyDescent="0.2">
      <c r="A10" s="3" t="s">
        <v>26</v>
      </c>
      <c r="B10" s="3">
        <v>1</v>
      </c>
      <c r="C10" s="21" t="s">
        <v>25</v>
      </c>
      <c r="D10" s="3" t="s">
        <v>13</v>
      </c>
      <c r="E10" s="3">
        <v>1</v>
      </c>
      <c r="F10" s="3"/>
      <c r="G10" s="30" t="e">
        <f t="shared" si="0"/>
        <v>#DIV/0!</v>
      </c>
      <c r="H10" s="33" t="e">
        <f t="shared" si="1"/>
        <v>#DIV/0!</v>
      </c>
      <c r="I10" s="33" t="e">
        <f t="shared" si="2"/>
        <v>#DIV/0!</v>
      </c>
      <c r="J10" s="57"/>
      <c r="K10" s="44"/>
      <c r="L10" s="5"/>
      <c r="M10" s="5"/>
      <c r="N10" s="5"/>
      <c r="O10" s="5"/>
      <c r="P10" s="48" t="e">
        <f t="shared" si="3"/>
        <v>#DIV/0!</v>
      </c>
      <c r="Q10" s="44"/>
      <c r="R10" s="5"/>
      <c r="S10" s="5"/>
      <c r="T10" s="5"/>
      <c r="U10" s="5"/>
      <c r="V10" s="48" t="e">
        <f t="shared" si="4"/>
        <v>#DIV/0!</v>
      </c>
      <c r="W10" s="44"/>
      <c r="X10" s="5"/>
      <c r="Y10" s="5"/>
      <c r="Z10" s="5"/>
      <c r="AA10" s="5"/>
      <c r="AB10" s="48" t="e">
        <f t="shared" si="5"/>
        <v>#DIV/0!</v>
      </c>
      <c r="AC10" s="44"/>
      <c r="AD10" s="5"/>
      <c r="AE10" s="5"/>
      <c r="AF10" s="5"/>
      <c r="AG10" s="5"/>
      <c r="AH10" s="48" t="e">
        <f t="shared" si="6"/>
        <v>#DIV/0!</v>
      </c>
      <c r="AI10" s="44"/>
      <c r="AJ10" s="5"/>
      <c r="AK10" s="5"/>
      <c r="AL10" s="5"/>
      <c r="AM10" s="5"/>
      <c r="AN10" s="48" t="e">
        <f t="shared" si="7"/>
        <v>#DIV/0!</v>
      </c>
      <c r="AO10" s="44"/>
      <c r="AP10" s="5"/>
      <c r="AQ10" s="5"/>
      <c r="AR10" s="5"/>
      <c r="AS10" s="5"/>
      <c r="AT10" s="48" t="e">
        <f t="shared" si="8"/>
        <v>#DIV/0!</v>
      </c>
      <c r="AU10" s="44"/>
      <c r="AV10" s="5"/>
      <c r="AW10" s="5"/>
      <c r="AX10" s="5"/>
      <c r="AY10" s="5"/>
      <c r="AZ10" s="48" t="e">
        <f t="shared" si="9"/>
        <v>#DIV/0!</v>
      </c>
      <c r="BA10" s="44"/>
      <c r="BB10" s="5"/>
      <c r="BC10" s="5"/>
      <c r="BD10" s="5"/>
      <c r="BE10" s="5"/>
      <c r="BF10" s="48" t="e">
        <f t="shared" si="10"/>
        <v>#DIV/0!</v>
      </c>
      <c r="BG10" s="68"/>
      <c r="BH10" s="44"/>
      <c r="BI10" s="5"/>
      <c r="BJ10" s="5"/>
      <c r="BK10" s="5"/>
      <c r="BL10" s="5"/>
      <c r="BM10" s="48">
        <f t="shared" si="11"/>
        <v>0</v>
      </c>
      <c r="BN10" s="44"/>
      <c r="BO10" s="5"/>
      <c r="BP10" s="5"/>
      <c r="BQ10" s="5"/>
      <c r="BR10" s="5"/>
      <c r="BS10" s="48">
        <f t="shared" si="12"/>
        <v>0</v>
      </c>
      <c r="BT10" s="5"/>
      <c r="BU10" s="5"/>
      <c r="BV10" s="5"/>
      <c r="BW10" s="5"/>
      <c r="BX10" s="5"/>
      <c r="BY10" s="48">
        <f t="shared" si="13"/>
        <v>0</v>
      </c>
      <c r="BZ10" s="5"/>
      <c r="CA10" s="5"/>
      <c r="CB10" s="5"/>
      <c r="CC10" s="5"/>
      <c r="CD10" s="5"/>
      <c r="CE10" s="48">
        <f t="shared" si="14"/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 ht="16" x14ac:dyDescent="0.2">
      <c r="A11" s="2" t="s">
        <v>28</v>
      </c>
      <c r="B11" s="2">
        <v>1</v>
      </c>
      <c r="C11" s="22" t="s">
        <v>27</v>
      </c>
      <c r="D11" s="2" t="s">
        <v>13</v>
      </c>
      <c r="E11" s="2">
        <v>1</v>
      </c>
      <c r="F11" s="2"/>
      <c r="G11" s="30" t="e">
        <f t="shared" si="0"/>
        <v>#DIV/0!</v>
      </c>
      <c r="H11" s="33" t="e">
        <f t="shared" si="1"/>
        <v>#DIV/0!</v>
      </c>
      <c r="I11" s="33" t="e">
        <f t="shared" si="2"/>
        <v>#DIV/0!</v>
      </c>
      <c r="J11" s="57"/>
      <c r="K11" s="45"/>
      <c r="L11" s="7"/>
      <c r="M11" s="7"/>
      <c r="N11" s="7"/>
      <c r="O11" s="7"/>
      <c r="P11" s="48" t="e">
        <f t="shared" si="3"/>
        <v>#DIV/0!</v>
      </c>
      <c r="Q11" s="45"/>
      <c r="R11" s="7"/>
      <c r="S11" s="7"/>
      <c r="T11" s="7"/>
      <c r="U11" s="7"/>
      <c r="V11" s="48" t="e">
        <f t="shared" si="4"/>
        <v>#DIV/0!</v>
      </c>
      <c r="W11" s="45"/>
      <c r="X11" s="7"/>
      <c r="Y11" s="7"/>
      <c r="Z11" s="7"/>
      <c r="AA11" s="7"/>
      <c r="AB11" s="48" t="e">
        <f t="shared" si="5"/>
        <v>#DIV/0!</v>
      </c>
      <c r="AC11" s="45"/>
      <c r="AD11" s="7"/>
      <c r="AE11" s="7"/>
      <c r="AF11" s="7"/>
      <c r="AG11" s="7"/>
      <c r="AH11" s="48" t="e">
        <f t="shared" si="6"/>
        <v>#DIV/0!</v>
      </c>
      <c r="AI11" s="45"/>
      <c r="AJ11" s="7"/>
      <c r="AK11" s="7"/>
      <c r="AL11" s="7"/>
      <c r="AM11" s="7"/>
      <c r="AN11" s="48" t="e">
        <f t="shared" si="7"/>
        <v>#DIV/0!</v>
      </c>
      <c r="AO11" s="45"/>
      <c r="AP11" s="7"/>
      <c r="AQ11" s="7"/>
      <c r="AR11" s="7"/>
      <c r="AS11" s="7"/>
      <c r="AT11" s="48" t="e">
        <f t="shared" si="8"/>
        <v>#DIV/0!</v>
      </c>
      <c r="AU11" s="45"/>
      <c r="AV11" s="7"/>
      <c r="AW11" s="7"/>
      <c r="AX11" s="7"/>
      <c r="AY11" s="7"/>
      <c r="AZ11" s="48" t="e">
        <f t="shared" si="9"/>
        <v>#DIV/0!</v>
      </c>
      <c r="BA11" s="45"/>
      <c r="BB11" s="7"/>
      <c r="BC11" s="7"/>
      <c r="BD11" s="7"/>
      <c r="BE11" s="7"/>
      <c r="BF11" s="48" t="e">
        <f t="shared" si="10"/>
        <v>#DIV/0!</v>
      </c>
      <c r="BG11" s="68"/>
      <c r="BH11" s="45"/>
      <c r="BI11" s="7"/>
      <c r="BJ11" s="7"/>
      <c r="BK11" s="7"/>
      <c r="BL11" s="7"/>
      <c r="BM11" s="48">
        <f t="shared" si="11"/>
        <v>0</v>
      </c>
      <c r="BN11" s="45"/>
      <c r="BO11" s="7"/>
      <c r="BP11" s="7"/>
      <c r="BQ11" s="7"/>
      <c r="BR11" s="7"/>
      <c r="BS11" s="48">
        <f t="shared" si="12"/>
        <v>0</v>
      </c>
      <c r="BT11" s="7"/>
      <c r="BU11" s="7"/>
      <c r="BV11" s="7"/>
      <c r="BW11" s="7"/>
      <c r="BX11" s="7"/>
      <c r="BY11" s="48">
        <f t="shared" si="13"/>
        <v>0</v>
      </c>
      <c r="BZ11" s="7"/>
      <c r="CA11" s="7"/>
      <c r="CB11" s="7"/>
      <c r="CC11" s="7"/>
      <c r="CD11" s="7"/>
      <c r="CE11" s="48">
        <f t="shared" si="14"/>
        <v>0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</row>
    <row r="12" spans="1:115" ht="16" x14ac:dyDescent="0.2">
      <c r="A12" s="3" t="s">
        <v>30</v>
      </c>
      <c r="B12" s="3">
        <v>1</v>
      </c>
      <c r="C12" s="21" t="s">
        <v>29</v>
      </c>
      <c r="D12" s="3" t="s">
        <v>13</v>
      </c>
      <c r="E12" s="3">
        <v>1</v>
      </c>
      <c r="F12" s="3"/>
      <c r="G12" s="30" t="e">
        <f t="shared" si="0"/>
        <v>#DIV/0!</v>
      </c>
      <c r="H12" s="33" t="e">
        <f t="shared" si="1"/>
        <v>#DIV/0!</v>
      </c>
      <c r="I12" s="33" t="e">
        <f t="shared" si="2"/>
        <v>#DIV/0!</v>
      </c>
      <c r="J12" s="57"/>
      <c r="K12" s="44"/>
      <c r="L12" s="5"/>
      <c r="M12" s="5"/>
      <c r="N12" s="5"/>
      <c r="O12" s="5"/>
      <c r="P12" s="48" t="e">
        <f t="shared" si="3"/>
        <v>#DIV/0!</v>
      </c>
      <c r="Q12" s="44"/>
      <c r="R12" s="5"/>
      <c r="S12" s="5"/>
      <c r="T12" s="5"/>
      <c r="U12" s="5"/>
      <c r="V12" s="48" t="e">
        <f t="shared" si="4"/>
        <v>#DIV/0!</v>
      </c>
      <c r="W12" s="44"/>
      <c r="X12" s="5"/>
      <c r="Y12" s="5"/>
      <c r="Z12" s="5"/>
      <c r="AA12" s="5"/>
      <c r="AB12" s="48" t="e">
        <f t="shared" si="5"/>
        <v>#DIV/0!</v>
      </c>
      <c r="AC12" s="44"/>
      <c r="AD12" s="5"/>
      <c r="AE12" s="5"/>
      <c r="AF12" s="5"/>
      <c r="AG12" s="5"/>
      <c r="AH12" s="48" t="e">
        <f t="shared" si="6"/>
        <v>#DIV/0!</v>
      </c>
      <c r="AI12" s="44"/>
      <c r="AJ12" s="5"/>
      <c r="AK12" s="5"/>
      <c r="AL12" s="5"/>
      <c r="AM12" s="5"/>
      <c r="AN12" s="48" t="e">
        <f t="shared" si="7"/>
        <v>#DIV/0!</v>
      </c>
      <c r="AO12" s="44"/>
      <c r="AP12" s="5"/>
      <c r="AQ12" s="5"/>
      <c r="AR12" s="5"/>
      <c r="AS12" s="5"/>
      <c r="AT12" s="48" t="e">
        <f t="shared" si="8"/>
        <v>#DIV/0!</v>
      </c>
      <c r="AU12" s="44"/>
      <c r="AV12" s="5"/>
      <c r="AW12" s="5"/>
      <c r="AX12" s="5"/>
      <c r="AY12" s="5"/>
      <c r="AZ12" s="48" t="e">
        <f t="shared" si="9"/>
        <v>#DIV/0!</v>
      </c>
      <c r="BA12" s="44"/>
      <c r="BB12" s="5"/>
      <c r="BC12" s="5"/>
      <c r="BD12" s="5"/>
      <c r="BE12" s="5"/>
      <c r="BF12" s="48" t="e">
        <f t="shared" si="10"/>
        <v>#DIV/0!</v>
      </c>
      <c r="BG12" s="68"/>
      <c r="BH12" s="44"/>
      <c r="BI12" s="5"/>
      <c r="BJ12" s="5"/>
      <c r="BK12" s="5"/>
      <c r="BL12" s="5"/>
      <c r="BM12" s="48">
        <f t="shared" si="11"/>
        <v>0</v>
      </c>
      <c r="BN12" s="44"/>
      <c r="BO12" s="5"/>
      <c r="BP12" s="5"/>
      <c r="BQ12" s="5"/>
      <c r="BR12" s="5"/>
      <c r="BS12" s="48">
        <f t="shared" si="12"/>
        <v>0</v>
      </c>
      <c r="BT12" s="5"/>
      <c r="BU12" s="5"/>
      <c r="BV12" s="5"/>
      <c r="BW12" s="5"/>
      <c r="BX12" s="5"/>
      <c r="BY12" s="48">
        <f t="shared" si="13"/>
        <v>0</v>
      </c>
      <c r="BZ12" s="5"/>
      <c r="CA12" s="5"/>
      <c r="CB12" s="5"/>
      <c r="CC12" s="5"/>
      <c r="CD12" s="5"/>
      <c r="CE12" s="48">
        <f t="shared" si="14"/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 ht="16" x14ac:dyDescent="0.2">
      <c r="A13" s="2" t="s">
        <v>32</v>
      </c>
      <c r="B13" s="2">
        <v>1</v>
      </c>
      <c r="C13" s="22" t="s">
        <v>31</v>
      </c>
      <c r="D13" s="2" t="s">
        <v>13</v>
      </c>
      <c r="E13" s="2">
        <v>1</v>
      </c>
      <c r="F13" s="2"/>
      <c r="G13" s="30" t="e">
        <f t="shared" si="0"/>
        <v>#DIV/0!</v>
      </c>
      <c r="H13" s="33" t="e">
        <f t="shared" si="1"/>
        <v>#DIV/0!</v>
      </c>
      <c r="I13" s="33" t="e">
        <f t="shared" si="2"/>
        <v>#DIV/0!</v>
      </c>
      <c r="J13" s="57"/>
      <c r="K13" s="45"/>
      <c r="L13" s="7"/>
      <c r="M13" s="7"/>
      <c r="N13" s="7"/>
      <c r="O13" s="7"/>
      <c r="P13" s="48" t="e">
        <f t="shared" si="3"/>
        <v>#DIV/0!</v>
      </c>
      <c r="Q13" s="45"/>
      <c r="R13" s="7"/>
      <c r="S13" s="7"/>
      <c r="T13" s="7"/>
      <c r="U13" s="7"/>
      <c r="V13" s="48" t="e">
        <f t="shared" si="4"/>
        <v>#DIV/0!</v>
      </c>
      <c r="W13" s="45"/>
      <c r="X13" s="7"/>
      <c r="Y13" s="7"/>
      <c r="Z13" s="7"/>
      <c r="AA13" s="7"/>
      <c r="AB13" s="48" t="e">
        <f t="shared" si="5"/>
        <v>#DIV/0!</v>
      </c>
      <c r="AC13" s="45"/>
      <c r="AD13" s="7"/>
      <c r="AE13" s="7"/>
      <c r="AF13" s="7"/>
      <c r="AG13" s="7"/>
      <c r="AH13" s="48" t="e">
        <f t="shared" si="6"/>
        <v>#DIV/0!</v>
      </c>
      <c r="AI13" s="45"/>
      <c r="AJ13" s="7"/>
      <c r="AK13" s="7"/>
      <c r="AL13" s="7"/>
      <c r="AM13" s="7"/>
      <c r="AN13" s="48" t="e">
        <f t="shared" si="7"/>
        <v>#DIV/0!</v>
      </c>
      <c r="AO13" s="45"/>
      <c r="AP13" s="7"/>
      <c r="AQ13" s="7"/>
      <c r="AR13" s="7"/>
      <c r="AS13" s="7"/>
      <c r="AT13" s="48" t="e">
        <f t="shared" si="8"/>
        <v>#DIV/0!</v>
      </c>
      <c r="AU13" s="45"/>
      <c r="AV13" s="7"/>
      <c r="AW13" s="7"/>
      <c r="AX13" s="7"/>
      <c r="AY13" s="7"/>
      <c r="AZ13" s="48" t="e">
        <f t="shared" si="9"/>
        <v>#DIV/0!</v>
      </c>
      <c r="BA13" s="45"/>
      <c r="BB13" s="7"/>
      <c r="BC13" s="7"/>
      <c r="BD13" s="7"/>
      <c r="BE13" s="7"/>
      <c r="BF13" s="48" t="e">
        <f t="shared" si="10"/>
        <v>#DIV/0!</v>
      </c>
      <c r="BG13" s="68"/>
      <c r="BH13" s="45"/>
      <c r="BI13" s="7"/>
      <c r="BJ13" s="7"/>
      <c r="BK13" s="7"/>
      <c r="BL13" s="7"/>
      <c r="BM13" s="48">
        <f t="shared" si="11"/>
        <v>0</v>
      </c>
      <c r="BN13" s="45"/>
      <c r="BO13" s="7"/>
      <c r="BP13" s="7"/>
      <c r="BQ13" s="7"/>
      <c r="BR13" s="7"/>
      <c r="BS13" s="48">
        <f t="shared" si="12"/>
        <v>0</v>
      </c>
      <c r="BT13" s="7"/>
      <c r="BU13" s="7"/>
      <c r="BV13" s="7"/>
      <c r="BW13" s="7"/>
      <c r="BX13" s="7"/>
      <c r="BY13" s="48">
        <f t="shared" si="13"/>
        <v>0</v>
      </c>
      <c r="BZ13" s="7"/>
      <c r="CA13" s="7"/>
      <c r="CB13" s="7"/>
      <c r="CC13" s="7"/>
      <c r="CD13" s="7"/>
      <c r="CE13" s="48">
        <f t="shared" si="14"/>
        <v>0</v>
      </c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</row>
    <row r="14" spans="1:115" ht="16" x14ac:dyDescent="0.2">
      <c r="A14" s="3" t="s">
        <v>34</v>
      </c>
      <c r="B14" s="3">
        <v>1</v>
      </c>
      <c r="C14" s="21" t="s">
        <v>33</v>
      </c>
      <c r="D14" s="3" t="s">
        <v>13</v>
      </c>
      <c r="E14" s="3">
        <v>1</v>
      </c>
      <c r="F14" s="3"/>
      <c r="G14" s="30" t="e">
        <f t="shared" si="0"/>
        <v>#DIV/0!</v>
      </c>
      <c r="H14" s="33" t="e">
        <f t="shared" si="1"/>
        <v>#DIV/0!</v>
      </c>
      <c r="I14" s="33" t="e">
        <f t="shared" si="2"/>
        <v>#DIV/0!</v>
      </c>
      <c r="J14" s="57"/>
      <c r="K14" s="44"/>
      <c r="L14" s="5"/>
      <c r="M14" s="5"/>
      <c r="N14" s="5"/>
      <c r="O14" s="5"/>
      <c r="P14" s="48" t="e">
        <f t="shared" si="3"/>
        <v>#DIV/0!</v>
      </c>
      <c r="Q14" s="44"/>
      <c r="R14" s="5"/>
      <c r="S14" s="5"/>
      <c r="T14" s="5"/>
      <c r="U14" s="5"/>
      <c r="V14" s="48" t="e">
        <f t="shared" si="4"/>
        <v>#DIV/0!</v>
      </c>
      <c r="W14" s="44"/>
      <c r="X14" s="5"/>
      <c r="Y14" s="5"/>
      <c r="Z14" s="5"/>
      <c r="AA14" s="5"/>
      <c r="AB14" s="48" t="e">
        <f t="shared" si="5"/>
        <v>#DIV/0!</v>
      </c>
      <c r="AC14" s="44"/>
      <c r="AD14" s="5"/>
      <c r="AE14" s="5"/>
      <c r="AF14" s="5"/>
      <c r="AG14" s="5"/>
      <c r="AH14" s="48" t="e">
        <f t="shared" si="6"/>
        <v>#DIV/0!</v>
      </c>
      <c r="AI14" s="44"/>
      <c r="AJ14" s="5"/>
      <c r="AK14" s="5"/>
      <c r="AL14" s="5"/>
      <c r="AM14" s="5"/>
      <c r="AN14" s="48" t="e">
        <f t="shared" si="7"/>
        <v>#DIV/0!</v>
      </c>
      <c r="AO14" s="44"/>
      <c r="AP14" s="5"/>
      <c r="AQ14" s="5"/>
      <c r="AR14" s="5"/>
      <c r="AS14" s="5"/>
      <c r="AT14" s="48" t="e">
        <f t="shared" si="8"/>
        <v>#DIV/0!</v>
      </c>
      <c r="AU14" s="44"/>
      <c r="AV14" s="5"/>
      <c r="AW14" s="5"/>
      <c r="AX14" s="5"/>
      <c r="AY14" s="5"/>
      <c r="AZ14" s="48" t="e">
        <f t="shared" si="9"/>
        <v>#DIV/0!</v>
      </c>
      <c r="BA14" s="44"/>
      <c r="BB14" s="5"/>
      <c r="BC14" s="5"/>
      <c r="BD14" s="5"/>
      <c r="BE14" s="5"/>
      <c r="BF14" s="48" t="e">
        <f t="shared" si="10"/>
        <v>#DIV/0!</v>
      </c>
      <c r="BG14" s="68"/>
      <c r="BH14" s="44"/>
      <c r="BI14" s="5"/>
      <c r="BJ14" s="5"/>
      <c r="BK14" s="5"/>
      <c r="BL14" s="5"/>
      <c r="BM14" s="48">
        <f t="shared" si="11"/>
        <v>0</v>
      </c>
      <c r="BN14" s="44"/>
      <c r="BO14" s="5"/>
      <c r="BP14" s="5"/>
      <c r="BQ14" s="5"/>
      <c r="BR14" s="5"/>
      <c r="BS14" s="48">
        <f t="shared" si="12"/>
        <v>0</v>
      </c>
      <c r="BT14" s="5"/>
      <c r="BU14" s="5"/>
      <c r="BV14" s="5"/>
      <c r="BW14" s="5"/>
      <c r="BX14" s="5"/>
      <c r="BY14" s="48">
        <f t="shared" si="13"/>
        <v>0</v>
      </c>
      <c r="BZ14" s="5"/>
      <c r="CA14" s="5"/>
      <c r="CB14" s="5"/>
      <c r="CC14" s="5"/>
      <c r="CD14" s="5"/>
      <c r="CE14" s="48">
        <f t="shared" si="14"/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 ht="16" x14ac:dyDescent="0.2">
      <c r="A15" s="2" t="s">
        <v>36</v>
      </c>
      <c r="B15" s="2">
        <v>1</v>
      </c>
      <c r="C15" s="22" t="s">
        <v>35</v>
      </c>
      <c r="D15" s="2" t="s">
        <v>13</v>
      </c>
      <c r="E15" s="2">
        <v>1</v>
      </c>
      <c r="F15" s="2"/>
      <c r="G15" s="30" t="e">
        <f t="shared" si="0"/>
        <v>#DIV/0!</v>
      </c>
      <c r="H15" s="33" t="e">
        <f t="shared" si="1"/>
        <v>#DIV/0!</v>
      </c>
      <c r="I15" s="33" t="e">
        <f t="shared" si="2"/>
        <v>#DIV/0!</v>
      </c>
      <c r="J15" s="57"/>
      <c r="K15" s="45"/>
      <c r="L15" s="7"/>
      <c r="M15" s="7"/>
      <c r="N15" s="7"/>
      <c r="O15" s="7"/>
      <c r="P15" s="48" t="e">
        <f t="shared" si="3"/>
        <v>#DIV/0!</v>
      </c>
      <c r="Q15" s="45"/>
      <c r="R15" s="7"/>
      <c r="S15" s="7"/>
      <c r="T15" s="7"/>
      <c r="U15" s="7"/>
      <c r="V15" s="48" t="e">
        <f t="shared" si="4"/>
        <v>#DIV/0!</v>
      </c>
      <c r="W15" s="45"/>
      <c r="X15" s="7"/>
      <c r="Y15" s="7"/>
      <c r="Z15" s="7"/>
      <c r="AA15" s="7"/>
      <c r="AB15" s="48" t="e">
        <f t="shared" si="5"/>
        <v>#DIV/0!</v>
      </c>
      <c r="AC15" s="45"/>
      <c r="AD15" s="7"/>
      <c r="AE15" s="7"/>
      <c r="AF15" s="7"/>
      <c r="AG15" s="7"/>
      <c r="AH15" s="48" t="e">
        <f t="shared" si="6"/>
        <v>#DIV/0!</v>
      </c>
      <c r="AI15" s="45"/>
      <c r="AJ15" s="7"/>
      <c r="AK15" s="7"/>
      <c r="AL15" s="7"/>
      <c r="AM15" s="7"/>
      <c r="AN15" s="48" t="e">
        <f t="shared" si="7"/>
        <v>#DIV/0!</v>
      </c>
      <c r="AO15" s="45"/>
      <c r="AP15" s="7"/>
      <c r="AQ15" s="7"/>
      <c r="AR15" s="7"/>
      <c r="AS15" s="7"/>
      <c r="AT15" s="48" t="e">
        <f t="shared" si="8"/>
        <v>#DIV/0!</v>
      </c>
      <c r="AU15" s="45"/>
      <c r="AV15" s="7"/>
      <c r="AW15" s="7"/>
      <c r="AX15" s="7"/>
      <c r="AY15" s="7"/>
      <c r="AZ15" s="48" t="e">
        <f t="shared" si="9"/>
        <v>#DIV/0!</v>
      </c>
      <c r="BA15" s="45"/>
      <c r="BB15" s="7"/>
      <c r="BC15" s="7"/>
      <c r="BD15" s="7"/>
      <c r="BE15" s="7"/>
      <c r="BF15" s="48" t="e">
        <f t="shared" si="10"/>
        <v>#DIV/0!</v>
      </c>
      <c r="BG15" s="68"/>
      <c r="BH15" s="45"/>
      <c r="BI15" s="7"/>
      <c r="BJ15" s="7"/>
      <c r="BK15" s="7"/>
      <c r="BL15" s="7"/>
      <c r="BM15" s="48">
        <f t="shared" si="11"/>
        <v>0</v>
      </c>
      <c r="BN15" s="45"/>
      <c r="BO15" s="7"/>
      <c r="BP15" s="7"/>
      <c r="BQ15" s="7"/>
      <c r="BR15" s="7"/>
      <c r="BS15" s="48">
        <f t="shared" si="12"/>
        <v>0</v>
      </c>
      <c r="BT15" s="7"/>
      <c r="BU15" s="7"/>
      <c r="BV15" s="7"/>
      <c r="BW15" s="7"/>
      <c r="BX15" s="7"/>
      <c r="BY15" s="48">
        <f t="shared" si="13"/>
        <v>0</v>
      </c>
      <c r="BZ15" s="7"/>
      <c r="CA15" s="7"/>
      <c r="CB15" s="7"/>
      <c r="CC15" s="7"/>
      <c r="CD15" s="7"/>
      <c r="CE15" s="48">
        <f t="shared" si="14"/>
        <v>0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</row>
    <row r="16" spans="1:115" ht="16" x14ac:dyDescent="0.2">
      <c r="A16" s="3" t="s">
        <v>38</v>
      </c>
      <c r="B16" s="3">
        <v>1</v>
      </c>
      <c r="C16" s="21" t="s">
        <v>37</v>
      </c>
      <c r="D16" s="3" t="s">
        <v>13</v>
      </c>
      <c r="E16" s="3">
        <v>1</v>
      </c>
      <c r="F16" s="3"/>
      <c r="G16" s="30" t="e">
        <f t="shared" si="0"/>
        <v>#DIV/0!</v>
      </c>
      <c r="H16" s="33" t="e">
        <f t="shared" si="1"/>
        <v>#DIV/0!</v>
      </c>
      <c r="I16" s="33" t="e">
        <f t="shared" si="2"/>
        <v>#DIV/0!</v>
      </c>
      <c r="J16" s="57"/>
      <c r="K16" s="44"/>
      <c r="L16" s="5"/>
      <c r="M16" s="5"/>
      <c r="N16" s="5"/>
      <c r="O16" s="5"/>
      <c r="P16" s="48" t="e">
        <f t="shared" si="3"/>
        <v>#DIV/0!</v>
      </c>
      <c r="Q16" s="44"/>
      <c r="R16" s="5"/>
      <c r="S16" s="5"/>
      <c r="T16" s="5"/>
      <c r="U16" s="5"/>
      <c r="V16" s="48" t="e">
        <f t="shared" si="4"/>
        <v>#DIV/0!</v>
      </c>
      <c r="W16" s="44"/>
      <c r="X16" s="5"/>
      <c r="Y16" s="5"/>
      <c r="Z16" s="5"/>
      <c r="AA16" s="5"/>
      <c r="AB16" s="48" t="e">
        <f t="shared" si="5"/>
        <v>#DIV/0!</v>
      </c>
      <c r="AC16" s="44"/>
      <c r="AD16" s="5"/>
      <c r="AE16" s="5"/>
      <c r="AF16" s="5"/>
      <c r="AG16" s="5"/>
      <c r="AH16" s="48" t="e">
        <f t="shared" si="6"/>
        <v>#DIV/0!</v>
      </c>
      <c r="AI16" s="44"/>
      <c r="AJ16" s="5"/>
      <c r="AK16" s="5"/>
      <c r="AL16" s="5"/>
      <c r="AM16" s="5"/>
      <c r="AN16" s="48" t="e">
        <f t="shared" si="7"/>
        <v>#DIV/0!</v>
      </c>
      <c r="AO16" s="44"/>
      <c r="AP16" s="5"/>
      <c r="AQ16" s="5"/>
      <c r="AR16" s="5"/>
      <c r="AS16" s="5"/>
      <c r="AT16" s="48" t="e">
        <f t="shared" si="8"/>
        <v>#DIV/0!</v>
      </c>
      <c r="AU16" s="44"/>
      <c r="AV16" s="5"/>
      <c r="AW16" s="5"/>
      <c r="AX16" s="5"/>
      <c r="AY16" s="5"/>
      <c r="AZ16" s="48" t="e">
        <f t="shared" si="9"/>
        <v>#DIV/0!</v>
      </c>
      <c r="BA16" s="44"/>
      <c r="BB16" s="5"/>
      <c r="BC16" s="5"/>
      <c r="BD16" s="5"/>
      <c r="BE16" s="5"/>
      <c r="BF16" s="48" t="e">
        <f t="shared" si="10"/>
        <v>#DIV/0!</v>
      </c>
      <c r="BG16" s="68"/>
      <c r="BH16" s="44"/>
      <c r="BI16" s="5"/>
      <c r="BJ16" s="5"/>
      <c r="BK16" s="5"/>
      <c r="BL16" s="5"/>
      <c r="BM16" s="48">
        <f t="shared" si="11"/>
        <v>0</v>
      </c>
      <c r="BN16" s="44"/>
      <c r="BO16" s="5"/>
      <c r="BP16" s="5"/>
      <c r="BQ16" s="5"/>
      <c r="BR16" s="5"/>
      <c r="BS16" s="48">
        <f t="shared" si="12"/>
        <v>0</v>
      </c>
      <c r="BT16" s="5"/>
      <c r="BU16" s="5"/>
      <c r="BV16" s="5"/>
      <c r="BW16" s="5"/>
      <c r="BX16" s="5"/>
      <c r="BY16" s="48">
        <f t="shared" si="13"/>
        <v>0</v>
      </c>
      <c r="BZ16" s="5"/>
      <c r="CA16" s="5"/>
      <c r="CB16" s="5"/>
      <c r="CC16" s="5"/>
      <c r="CD16" s="5"/>
      <c r="CE16" s="48">
        <f t="shared" si="14"/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 ht="16" x14ac:dyDescent="0.2">
      <c r="A17" s="2" t="s">
        <v>40</v>
      </c>
      <c r="B17" s="2">
        <v>1</v>
      </c>
      <c r="C17" s="22" t="s">
        <v>39</v>
      </c>
      <c r="D17" s="2" t="s">
        <v>13</v>
      </c>
      <c r="E17" s="2">
        <v>1</v>
      </c>
      <c r="F17" s="2"/>
      <c r="G17" s="30" t="e">
        <f t="shared" si="0"/>
        <v>#DIV/0!</v>
      </c>
      <c r="H17" s="33" t="e">
        <f t="shared" si="1"/>
        <v>#DIV/0!</v>
      </c>
      <c r="I17" s="33" t="e">
        <f t="shared" si="2"/>
        <v>#DIV/0!</v>
      </c>
      <c r="J17" s="57"/>
      <c r="K17" s="45"/>
      <c r="L17" s="7"/>
      <c r="M17" s="7"/>
      <c r="N17" s="7"/>
      <c r="O17" s="7"/>
      <c r="P17" s="48" t="e">
        <f t="shared" si="3"/>
        <v>#DIV/0!</v>
      </c>
      <c r="Q17" s="45"/>
      <c r="R17" s="7"/>
      <c r="S17" s="7"/>
      <c r="T17" s="7"/>
      <c r="U17" s="7"/>
      <c r="V17" s="48" t="e">
        <f t="shared" si="4"/>
        <v>#DIV/0!</v>
      </c>
      <c r="W17" s="45"/>
      <c r="X17" s="7"/>
      <c r="Y17" s="7"/>
      <c r="Z17" s="7"/>
      <c r="AA17" s="7"/>
      <c r="AB17" s="48" t="e">
        <f t="shared" si="5"/>
        <v>#DIV/0!</v>
      </c>
      <c r="AC17" s="45"/>
      <c r="AD17" s="7"/>
      <c r="AE17" s="7"/>
      <c r="AF17" s="7"/>
      <c r="AG17" s="7"/>
      <c r="AH17" s="48" t="e">
        <f t="shared" si="6"/>
        <v>#DIV/0!</v>
      </c>
      <c r="AI17" s="45"/>
      <c r="AJ17" s="7"/>
      <c r="AK17" s="7"/>
      <c r="AL17" s="7"/>
      <c r="AM17" s="7"/>
      <c r="AN17" s="48" t="e">
        <f t="shared" si="7"/>
        <v>#DIV/0!</v>
      </c>
      <c r="AO17" s="45"/>
      <c r="AP17" s="7"/>
      <c r="AQ17" s="7"/>
      <c r="AR17" s="7"/>
      <c r="AS17" s="7"/>
      <c r="AT17" s="48" t="e">
        <f t="shared" si="8"/>
        <v>#DIV/0!</v>
      </c>
      <c r="AU17" s="45"/>
      <c r="AV17" s="7"/>
      <c r="AW17" s="7"/>
      <c r="AX17" s="7"/>
      <c r="AY17" s="7"/>
      <c r="AZ17" s="48" t="e">
        <f t="shared" si="9"/>
        <v>#DIV/0!</v>
      </c>
      <c r="BA17" s="45"/>
      <c r="BB17" s="7"/>
      <c r="BC17" s="7"/>
      <c r="BD17" s="7"/>
      <c r="BE17" s="7"/>
      <c r="BF17" s="48" t="e">
        <f t="shared" si="10"/>
        <v>#DIV/0!</v>
      </c>
      <c r="BG17" s="68"/>
      <c r="BH17" s="45"/>
      <c r="BI17" s="7"/>
      <c r="BJ17" s="7"/>
      <c r="BK17" s="7"/>
      <c r="BL17" s="7"/>
      <c r="BM17" s="48">
        <f>SUM(BH17:BL17)/5*15</f>
        <v>0</v>
      </c>
      <c r="BN17" s="45"/>
      <c r="BO17" s="7"/>
      <c r="BP17" s="7"/>
      <c r="BQ17" s="7"/>
      <c r="BR17" s="7"/>
      <c r="BS17" s="48">
        <f t="shared" si="12"/>
        <v>0</v>
      </c>
      <c r="BT17" s="7"/>
      <c r="BU17" s="7"/>
      <c r="BV17" s="7"/>
      <c r="BW17" s="7"/>
      <c r="BX17" s="7"/>
      <c r="BY17" s="48">
        <f t="shared" si="13"/>
        <v>0</v>
      </c>
      <c r="BZ17" s="7"/>
      <c r="CA17" s="7"/>
      <c r="CB17" s="7"/>
      <c r="CC17" s="7"/>
      <c r="CD17" s="7"/>
      <c r="CE17" s="48">
        <f t="shared" si="14"/>
        <v>0</v>
      </c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</row>
    <row r="18" spans="1:115" ht="16" x14ac:dyDescent="0.2">
      <c r="A18" s="3" t="s">
        <v>42</v>
      </c>
      <c r="B18" s="3">
        <v>1</v>
      </c>
      <c r="C18" s="21" t="s">
        <v>41</v>
      </c>
      <c r="D18" s="3" t="s">
        <v>13</v>
      </c>
      <c r="E18" s="3"/>
      <c r="F18" s="3"/>
      <c r="G18" s="30" t="e">
        <f t="shared" si="0"/>
        <v>#DIV/0!</v>
      </c>
      <c r="H18" s="33" t="e">
        <f t="shared" si="1"/>
        <v>#DIV/0!</v>
      </c>
      <c r="I18" s="33" t="e">
        <f t="shared" si="2"/>
        <v>#DIV/0!</v>
      </c>
      <c r="J18" s="57"/>
      <c r="K18" s="44"/>
      <c r="L18" s="5"/>
      <c r="M18" s="5"/>
      <c r="N18" s="5"/>
      <c r="O18" s="5"/>
      <c r="P18" s="48" t="e">
        <f t="shared" si="3"/>
        <v>#DIV/0!</v>
      </c>
      <c r="Q18" s="44"/>
      <c r="R18" s="5"/>
      <c r="S18" s="5"/>
      <c r="T18" s="5"/>
      <c r="U18" s="5"/>
      <c r="V18" s="48" t="e">
        <f t="shared" si="4"/>
        <v>#DIV/0!</v>
      </c>
      <c r="W18" s="44"/>
      <c r="X18" s="5"/>
      <c r="Y18" s="5"/>
      <c r="Z18" s="5"/>
      <c r="AA18" s="5"/>
      <c r="AB18" s="48" t="e">
        <f t="shared" si="5"/>
        <v>#DIV/0!</v>
      </c>
      <c r="AC18" s="44"/>
      <c r="AD18" s="5"/>
      <c r="AE18" s="5"/>
      <c r="AF18" s="5"/>
      <c r="AG18" s="5"/>
      <c r="AH18" s="48" t="e">
        <f t="shared" si="6"/>
        <v>#DIV/0!</v>
      </c>
      <c r="AI18" s="44"/>
      <c r="AJ18" s="5"/>
      <c r="AK18" s="5"/>
      <c r="AL18" s="5"/>
      <c r="AM18" s="5"/>
      <c r="AN18" s="48" t="e">
        <f t="shared" si="7"/>
        <v>#DIV/0!</v>
      </c>
      <c r="AO18" s="44"/>
      <c r="AP18" s="5"/>
      <c r="AQ18" s="5"/>
      <c r="AR18" s="5"/>
      <c r="AS18" s="5"/>
      <c r="AT18" s="48" t="e">
        <f t="shared" si="8"/>
        <v>#DIV/0!</v>
      </c>
      <c r="AU18" s="44"/>
      <c r="AV18" s="5"/>
      <c r="AW18" s="5"/>
      <c r="AX18" s="5"/>
      <c r="AY18" s="5"/>
      <c r="AZ18" s="48" t="e">
        <f t="shared" si="9"/>
        <v>#DIV/0!</v>
      </c>
      <c r="BA18" s="44"/>
      <c r="BB18" s="5"/>
      <c r="BC18" s="5"/>
      <c r="BD18" s="5"/>
      <c r="BE18" s="5"/>
      <c r="BF18" s="48" t="e">
        <f t="shared" si="10"/>
        <v>#DIV/0!</v>
      </c>
      <c r="BG18" s="68"/>
      <c r="BH18" s="44"/>
      <c r="BI18" s="5"/>
      <c r="BJ18" s="5"/>
      <c r="BK18" s="5"/>
      <c r="BL18" s="5"/>
      <c r="BM18" s="48">
        <f t="shared" si="11"/>
        <v>0</v>
      </c>
      <c r="BN18" s="44"/>
      <c r="BO18" s="5"/>
      <c r="BP18" s="5"/>
      <c r="BQ18" s="5"/>
      <c r="BR18" s="5"/>
      <c r="BS18" s="48">
        <f t="shared" si="12"/>
        <v>0</v>
      </c>
      <c r="BT18" s="5"/>
      <c r="BU18" s="5"/>
      <c r="BV18" s="5"/>
      <c r="BW18" s="5"/>
      <c r="BX18" s="5"/>
      <c r="BY18" s="48">
        <f t="shared" si="13"/>
        <v>0</v>
      </c>
      <c r="BZ18" s="5"/>
      <c r="CA18" s="5"/>
      <c r="CB18" s="5"/>
      <c r="CC18" s="5"/>
      <c r="CD18" s="5"/>
      <c r="CE18" s="48">
        <f t="shared" si="14"/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 ht="16" x14ac:dyDescent="0.2">
      <c r="A19" s="2" t="s">
        <v>44</v>
      </c>
      <c r="B19" s="2">
        <v>1</v>
      </c>
      <c r="C19" s="22" t="s">
        <v>43</v>
      </c>
      <c r="D19" s="2" t="s">
        <v>13</v>
      </c>
      <c r="E19" s="2">
        <v>1</v>
      </c>
      <c r="F19" s="2"/>
      <c r="G19" s="30" t="e">
        <f t="shared" si="0"/>
        <v>#DIV/0!</v>
      </c>
      <c r="H19" s="33" t="e">
        <f t="shared" si="1"/>
        <v>#DIV/0!</v>
      </c>
      <c r="I19" s="33" t="e">
        <f t="shared" si="2"/>
        <v>#DIV/0!</v>
      </c>
      <c r="J19" s="57"/>
      <c r="K19" s="45"/>
      <c r="L19" s="7"/>
      <c r="M19" s="7"/>
      <c r="N19" s="7"/>
      <c r="O19" s="7"/>
      <c r="P19" s="48" t="e">
        <f t="shared" si="3"/>
        <v>#DIV/0!</v>
      </c>
      <c r="Q19" s="45"/>
      <c r="R19" s="7"/>
      <c r="S19" s="7"/>
      <c r="T19" s="7"/>
      <c r="U19" s="7"/>
      <c r="V19" s="48" t="e">
        <f t="shared" si="4"/>
        <v>#DIV/0!</v>
      </c>
      <c r="W19" s="45"/>
      <c r="X19" s="7"/>
      <c r="Y19" s="7"/>
      <c r="Z19" s="7"/>
      <c r="AA19" s="7"/>
      <c r="AB19" s="48" t="e">
        <f t="shared" si="5"/>
        <v>#DIV/0!</v>
      </c>
      <c r="AC19" s="45"/>
      <c r="AD19" s="7"/>
      <c r="AE19" s="7"/>
      <c r="AF19" s="7"/>
      <c r="AG19" s="7"/>
      <c r="AH19" s="48" t="e">
        <f t="shared" si="6"/>
        <v>#DIV/0!</v>
      </c>
      <c r="AI19" s="45"/>
      <c r="AJ19" s="7"/>
      <c r="AK19" s="7"/>
      <c r="AL19" s="7"/>
      <c r="AM19" s="7"/>
      <c r="AN19" s="48" t="e">
        <f t="shared" si="7"/>
        <v>#DIV/0!</v>
      </c>
      <c r="AO19" s="45"/>
      <c r="AP19" s="7"/>
      <c r="AQ19" s="7"/>
      <c r="AR19" s="7"/>
      <c r="AS19" s="7"/>
      <c r="AT19" s="48" t="e">
        <f t="shared" si="8"/>
        <v>#DIV/0!</v>
      </c>
      <c r="AU19" s="45"/>
      <c r="AV19" s="7"/>
      <c r="AW19" s="7"/>
      <c r="AX19" s="7"/>
      <c r="AY19" s="7"/>
      <c r="AZ19" s="48" t="e">
        <f t="shared" si="9"/>
        <v>#DIV/0!</v>
      </c>
      <c r="BA19" s="45"/>
      <c r="BB19" s="7"/>
      <c r="BC19" s="7"/>
      <c r="BD19" s="7"/>
      <c r="BE19" s="7"/>
      <c r="BF19" s="48" t="e">
        <f t="shared" si="10"/>
        <v>#DIV/0!</v>
      </c>
      <c r="BG19" s="68"/>
      <c r="BH19" s="45"/>
      <c r="BI19" s="7"/>
      <c r="BJ19" s="7"/>
      <c r="BK19" s="7"/>
      <c r="BL19" s="7"/>
      <c r="BM19" s="48">
        <f t="shared" si="11"/>
        <v>0</v>
      </c>
      <c r="BN19" s="45"/>
      <c r="BO19" s="7"/>
      <c r="BP19" s="7"/>
      <c r="BQ19" s="7"/>
      <c r="BR19" s="7"/>
      <c r="BS19" s="48">
        <f>SUM(BN19:BR19)/5*15</f>
        <v>0</v>
      </c>
      <c r="BT19" s="7"/>
      <c r="BU19" s="7"/>
      <c r="BV19" s="7"/>
      <c r="BW19" s="7"/>
      <c r="BX19" s="7"/>
      <c r="BY19" s="48">
        <f t="shared" si="13"/>
        <v>0</v>
      </c>
      <c r="BZ19" s="7"/>
      <c r="CA19" s="7"/>
      <c r="CB19" s="7"/>
      <c r="CC19" s="7"/>
      <c r="CD19" s="7"/>
      <c r="CE19" s="48">
        <f t="shared" si="14"/>
        <v>0</v>
      </c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</row>
    <row r="20" spans="1:115" ht="16" x14ac:dyDescent="0.2">
      <c r="A20" s="3" t="s">
        <v>46</v>
      </c>
      <c r="B20" s="3">
        <v>1</v>
      </c>
      <c r="C20" s="21" t="s">
        <v>45</v>
      </c>
      <c r="D20" s="3" t="s">
        <v>13</v>
      </c>
      <c r="E20" s="3">
        <v>1</v>
      </c>
      <c r="F20" s="3"/>
      <c r="G20" s="30" t="e">
        <f t="shared" si="0"/>
        <v>#DIV/0!</v>
      </c>
      <c r="H20" s="33" t="e">
        <f t="shared" si="1"/>
        <v>#DIV/0!</v>
      </c>
      <c r="I20" s="33" t="e">
        <f t="shared" si="2"/>
        <v>#DIV/0!</v>
      </c>
      <c r="J20" s="57"/>
      <c r="K20" s="44"/>
      <c r="L20" s="5"/>
      <c r="M20" s="5"/>
      <c r="N20" s="5"/>
      <c r="O20" s="5"/>
      <c r="P20" s="48" t="e">
        <f t="shared" si="3"/>
        <v>#DIV/0!</v>
      </c>
      <c r="Q20" s="44"/>
      <c r="R20" s="5"/>
      <c r="S20" s="5"/>
      <c r="T20" s="5"/>
      <c r="U20" s="5"/>
      <c r="V20" s="48" t="e">
        <f t="shared" si="4"/>
        <v>#DIV/0!</v>
      </c>
      <c r="W20" s="44"/>
      <c r="X20" s="5"/>
      <c r="Y20" s="5"/>
      <c r="Z20" s="5"/>
      <c r="AA20" s="5"/>
      <c r="AB20" s="48" t="e">
        <f t="shared" si="5"/>
        <v>#DIV/0!</v>
      </c>
      <c r="AC20" s="44"/>
      <c r="AD20" s="5"/>
      <c r="AE20" s="5"/>
      <c r="AF20" s="5"/>
      <c r="AG20" s="5"/>
      <c r="AH20" s="48" t="e">
        <f t="shared" si="6"/>
        <v>#DIV/0!</v>
      </c>
      <c r="AI20" s="44"/>
      <c r="AJ20" s="5"/>
      <c r="AK20" s="5"/>
      <c r="AL20" s="5"/>
      <c r="AM20" s="5"/>
      <c r="AN20" s="48" t="e">
        <f t="shared" si="7"/>
        <v>#DIV/0!</v>
      </c>
      <c r="AO20" s="44"/>
      <c r="AP20" s="5"/>
      <c r="AQ20" s="5"/>
      <c r="AR20" s="5"/>
      <c r="AS20" s="5"/>
      <c r="AT20" s="48" t="e">
        <f t="shared" si="8"/>
        <v>#DIV/0!</v>
      </c>
      <c r="AU20" s="44"/>
      <c r="AV20" s="5"/>
      <c r="AW20" s="5"/>
      <c r="AX20" s="5"/>
      <c r="AY20" s="5"/>
      <c r="AZ20" s="48" t="e">
        <f t="shared" si="9"/>
        <v>#DIV/0!</v>
      </c>
      <c r="BA20" s="44"/>
      <c r="BB20" s="5"/>
      <c r="BC20" s="5"/>
      <c r="BD20" s="5"/>
      <c r="BE20" s="5"/>
      <c r="BF20" s="48" t="e">
        <f t="shared" si="10"/>
        <v>#DIV/0!</v>
      </c>
      <c r="BG20" s="68"/>
      <c r="BH20" s="44"/>
      <c r="BI20" s="5"/>
      <c r="BJ20" s="5"/>
      <c r="BK20" s="5"/>
      <c r="BL20" s="5"/>
      <c r="BM20" s="48">
        <f t="shared" si="11"/>
        <v>0</v>
      </c>
      <c r="BN20" s="44"/>
      <c r="BO20" s="5"/>
      <c r="BP20" s="5"/>
      <c r="BQ20" s="5"/>
      <c r="BR20" s="5"/>
      <c r="BS20" s="48">
        <f t="shared" si="12"/>
        <v>0</v>
      </c>
      <c r="BT20" s="5"/>
      <c r="BU20" s="5"/>
      <c r="BV20" s="5"/>
      <c r="BW20" s="5"/>
      <c r="BX20" s="5"/>
      <c r="BY20" s="48">
        <f t="shared" si="13"/>
        <v>0</v>
      </c>
      <c r="BZ20" s="5"/>
      <c r="CA20" s="5"/>
      <c r="CB20" s="5"/>
      <c r="CC20" s="5"/>
      <c r="CD20" s="5"/>
      <c r="CE20" s="48">
        <f t="shared" si="14"/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 ht="16" x14ac:dyDescent="0.2">
      <c r="A21" s="2" t="s">
        <v>48</v>
      </c>
      <c r="B21" s="2">
        <v>1</v>
      </c>
      <c r="C21" s="22" t="s">
        <v>47</v>
      </c>
      <c r="D21" s="2" t="s">
        <v>13</v>
      </c>
      <c r="E21" s="2">
        <v>1</v>
      </c>
      <c r="F21" s="2">
        <v>1</v>
      </c>
      <c r="G21" s="30" t="e">
        <f t="shared" si="0"/>
        <v>#DIV/0!</v>
      </c>
      <c r="H21" s="33" t="e">
        <f t="shared" si="1"/>
        <v>#DIV/0!</v>
      </c>
      <c r="I21" s="33" t="e">
        <f t="shared" si="2"/>
        <v>#DIV/0!</v>
      </c>
      <c r="J21" s="57"/>
      <c r="K21" s="45"/>
      <c r="L21" s="7"/>
      <c r="M21" s="7"/>
      <c r="N21" s="7"/>
      <c r="O21" s="7"/>
      <c r="P21" s="48" t="e">
        <f t="shared" si="3"/>
        <v>#DIV/0!</v>
      </c>
      <c r="Q21" s="45"/>
      <c r="R21" s="7"/>
      <c r="S21" s="7"/>
      <c r="T21" s="7"/>
      <c r="U21" s="7"/>
      <c r="V21" s="48" t="e">
        <f t="shared" si="4"/>
        <v>#DIV/0!</v>
      </c>
      <c r="W21" s="45"/>
      <c r="X21" s="7"/>
      <c r="Y21" s="7"/>
      <c r="Z21" s="7"/>
      <c r="AA21" s="7"/>
      <c r="AB21" s="48" t="e">
        <f t="shared" si="5"/>
        <v>#DIV/0!</v>
      </c>
      <c r="AC21" s="45"/>
      <c r="AD21" s="7"/>
      <c r="AE21" s="7"/>
      <c r="AF21" s="7"/>
      <c r="AG21" s="7"/>
      <c r="AH21" s="48" t="e">
        <f t="shared" si="6"/>
        <v>#DIV/0!</v>
      </c>
      <c r="AI21" s="45"/>
      <c r="AJ21" s="7"/>
      <c r="AK21" s="7"/>
      <c r="AL21" s="7"/>
      <c r="AM21" s="7"/>
      <c r="AN21" s="48" t="e">
        <f t="shared" si="7"/>
        <v>#DIV/0!</v>
      </c>
      <c r="AO21" s="45"/>
      <c r="AP21" s="7"/>
      <c r="AQ21" s="7"/>
      <c r="AR21" s="7"/>
      <c r="AS21" s="7"/>
      <c r="AT21" s="48" t="e">
        <f t="shared" si="8"/>
        <v>#DIV/0!</v>
      </c>
      <c r="AU21" s="45"/>
      <c r="AV21" s="7"/>
      <c r="AW21" s="7"/>
      <c r="AX21" s="7"/>
      <c r="AY21" s="7"/>
      <c r="AZ21" s="48" t="e">
        <f t="shared" si="9"/>
        <v>#DIV/0!</v>
      </c>
      <c r="BA21" s="45"/>
      <c r="BB21" s="7"/>
      <c r="BC21" s="7"/>
      <c r="BD21" s="7"/>
      <c r="BE21" s="7"/>
      <c r="BF21" s="48" t="e">
        <f t="shared" si="10"/>
        <v>#DIV/0!</v>
      </c>
      <c r="BG21" s="68"/>
      <c r="BH21" s="45"/>
      <c r="BI21" s="7"/>
      <c r="BJ21" s="7"/>
      <c r="BK21" s="7"/>
      <c r="BL21" s="7"/>
      <c r="BM21" s="48">
        <f t="shared" si="11"/>
        <v>0</v>
      </c>
      <c r="BN21" s="45"/>
      <c r="BO21" s="7"/>
      <c r="BP21" s="7"/>
      <c r="BQ21" s="7"/>
      <c r="BR21" s="7"/>
      <c r="BS21" s="48">
        <f t="shared" si="12"/>
        <v>0</v>
      </c>
      <c r="BT21" s="7"/>
      <c r="BU21" s="7"/>
      <c r="BV21" s="7"/>
      <c r="BW21" s="7"/>
      <c r="BX21" s="7"/>
      <c r="BY21" s="48">
        <f t="shared" si="13"/>
        <v>0</v>
      </c>
      <c r="BZ21" s="7"/>
      <c r="CA21" s="7"/>
      <c r="CB21" s="7"/>
      <c r="CC21" s="7"/>
      <c r="CD21" s="7"/>
      <c r="CE21" s="48">
        <f t="shared" si="14"/>
        <v>0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</row>
    <row r="22" spans="1:115" ht="16" x14ac:dyDescent="0.2">
      <c r="A22" s="3" t="s">
        <v>50</v>
      </c>
      <c r="B22" s="3">
        <v>1</v>
      </c>
      <c r="C22" s="21" t="s">
        <v>49</v>
      </c>
      <c r="D22" s="3" t="s">
        <v>13</v>
      </c>
      <c r="E22" s="3">
        <v>1</v>
      </c>
      <c r="F22" s="3"/>
      <c r="G22" s="30" t="e">
        <f t="shared" si="0"/>
        <v>#DIV/0!</v>
      </c>
      <c r="H22" s="33" t="e">
        <f t="shared" si="1"/>
        <v>#DIV/0!</v>
      </c>
      <c r="I22" s="33" t="e">
        <f t="shared" si="2"/>
        <v>#DIV/0!</v>
      </c>
      <c r="J22" s="57"/>
      <c r="K22" s="44"/>
      <c r="L22" s="5"/>
      <c r="M22" s="5"/>
      <c r="N22" s="5"/>
      <c r="O22" s="5"/>
      <c r="P22" s="48" t="e">
        <f t="shared" si="3"/>
        <v>#DIV/0!</v>
      </c>
      <c r="Q22" s="44"/>
      <c r="R22" s="5"/>
      <c r="S22" s="5"/>
      <c r="T22" s="5"/>
      <c r="U22" s="5"/>
      <c r="V22" s="48" t="e">
        <f t="shared" si="4"/>
        <v>#DIV/0!</v>
      </c>
      <c r="W22" s="44"/>
      <c r="X22" s="5"/>
      <c r="Y22" s="5"/>
      <c r="Z22" s="5"/>
      <c r="AA22" s="5"/>
      <c r="AB22" s="48" t="e">
        <f t="shared" si="5"/>
        <v>#DIV/0!</v>
      </c>
      <c r="AC22" s="44"/>
      <c r="AD22" s="5"/>
      <c r="AE22" s="5"/>
      <c r="AF22" s="5"/>
      <c r="AG22" s="5"/>
      <c r="AH22" s="48" t="e">
        <f t="shared" si="6"/>
        <v>#DIV/0!</v>
      </c>
      <c r="AI22" s="44"/>
      <c r="AJ22" s="5"/>
      <c r="AK22" s="5"/>
      <c r="AL22" s="5"/>
      <c r="AM22" s="5"/>
      <c r="AN22" s="48" t="e">
        <f t="shared" si="7"/>
        <v>#DIV/0!</v>
      </c>
      <c r="AO22" s="44"/>
      <c r="AP22" s="5"/>
      <c r="AQ22" s="5"/>
      <c r="AR22" s="5"/>
      <c r="AS22" s="5"/>
      <c r="AT22" s="48" t="e">
        <f t="shared" si="8"/>
        <v>#DIV/0!</v>
      </c>
      <c r="AU22" s="44"/>
      <c r="AV22" s="5"/>
      <c r="AW22" s="5"/>
      <c r="AX22" s="5"/>
      <c r="AY22" s="5"/>
      <c r="AZ22" s="48" t="e">
        <f t="shared" si="9"/>
        <v>#DIV/0!</v>
      </c>
      <c r="BA22" s="44"/>
      <c r="BB22" s="5"/>
      <c r="BC22" s="5"/>
      <c r="BD22" s="5"/>
      <c r="BE22" s="5"/>
      <c r="BF22" s="48" t="e">
        <f t="shared" si="10"/>
        <v>#DIV/0!</v>
      </c>
      <c r="BG22" s="68"/>
      <c r="BH22" s="44"/>
      <c r="BI22" s="5"/>
      <c r="BJ22" s="5"/>
      <c r="BK22" s="5"/>
      <c r="BL22" s="5"/>
      <c r="BM22" s="48">
        <f t="shared" si="11"/>
        <v>0</v>
      </c>
      <c r="BN22" s="44"/>
      <c r="BO22" s="5"/>
      <c r="BP22" s="5"/>
      <c r="BQ22" s="5"/>
      <c r="BR22" s="5"/>
      <c r="BS22" s="48">
        <f t="shared" si="12"/>
        <v>0</v>
      </c>
      <c r="BT22" s="5"/>
      <c r="BU22" s="5"/>
      <c r="BV22" s="5"/>
      <c r="BW22" s="5"/>
      <c r="BX22" s="5"/>
      <c r="BY22" s="48">
        <f t="shared" si="13"/>
        <v>0</v>
      </c>
      <c r="BZ22" s="5"/>
      <c r="CA22" s="5"/>
      <c r="CB22" s="5"/>
      <c r="CC22" s="5"/>
      <c r="CD22" s="5"/>
      <c r="CE22" s="48">
        <f t="shared" si="14"/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 ht="16" x14ac:dyDescent="0.2">
      <c r="A23" s="2" t="s">
        <v>52</v>
      </c>
      <c r="B23" s="2">
        <v>1</v>
      </c>
      <c r="C23" s="22" t="s">
        <v>51</v>
      </c>
      <c r="D23" s="2" t="s">
        <v>13</v>
      </c>
      <c r="E23" s="2">
        <v>1</v>
      </c>
      <c r="F23" s="2">
        <v>1</v>
      </c>
      <c r="G23" s="30" t="e">
        <f t="shared" si="0"/>
        <v>#DIV/0!</v>
      </c>
      <c r="H23" s="33" t="e">
        <f t="shared" si="1"/>
        <v>#DIV/0!</v>
      </c>
      <c r="I23" s="33" t="e">
        <f t="shared" si="2"/>
        <v>#DIV/0!</v>
      </c>
      <c r="J23" s="57"/>
      <c r="K23" s="45"/>
      <c r="L23" s="7"/>
      <c r="M23" s="7"/>
      <c r="N23" s="7"/>
      <c r="O23" s="7"/>
      <c r="P23" s="48" t="e">
        <f t="shared" si="3"/>
        <v>#DIV/0!</v>
      </c>
      <c r="Q23" s="45"/>
      <c r="R23" s="7"/>
      <c r="S23" s="7"/>
      <c r="T23" s="7"/>
      <c r="U23" s="7"/>
      <c r="V23" s="48" t="e">
        <f t="shared" si="4"/>
        <v>#DIV/0!</v>
      </c>
      <c r="W23" s="45"/>
      <c r="X23" s="7"/>
      <c r="Y23" s="7"/>
      <c r="Z23" s="7"/>
      <c r="AA23" s="7"/>
      <c r="AB23" s="48" t="e">
        <f t="shared" si="5"/>
        <v>#DIV/0!</v>
      </c>
      <c r="AC23" s="45"/>
      <c r="AD23" s="7"/>
      <c r="AE23" s="7"/>
      <c r="AF23" s="7"/>
      <c r="AG23" s="7"/>
      <c r="AH23" s="48" t="e">
        <f t="shared" si="6"/>
        <v>#DIV/0!</v>
      </c>
      <c r="AI23" s="45"/>
      <c r="AJ23" s="7"/>
      <c r="AK23" s="7"/>
      <c r="AL23" s="7"/>
      <c r="AM23" s="7"/>
      <c r="AN23" s="48" t="e">
        <f t="shared" si="7"/>
        <v>#DIV/0!</v>
      </c>
      <c r="AO23" s="45"/>
      <c r="AP23" s="7"/>
      <c r="AQ23" s="7"/>
      <c r="AR23" s="7"/>
      <c r="AS23" s="7"/>
      <c r="AT23" s="48" t="e">
        <f t="shared" si="8"/>
        <v>#DIV/0!</v>
      </c>
      <c r="AU23" s="45"/>
      <c r="AV23" s="7"/>
      <c r="AW23" s="7"/>
      <c r="AX23" s="7"/>
      <c r="AY23" s="7"/>
      <c r="AZ23" s="48" t="e">
        <f t="shared" si="9"/>
        <v>#DIV/0!</v>
      </c>
      <c r="BA23" s="45"/>
      <c r="BB23" s="7"/>
      <c r="BC23" s="7"/>
      <c r="BD23" s="7"/>
      <c r="BE23" s="7"/>
      <c r="BF23" s="48" t="e">
        <f t="shared" si="10"/>
        <v>#DIV/0!</v>
      </c>
      <c r="BG23" s="68"/>
      <c r="BH23" s="45"/>
      <c r="BI23" s="7"/>
      <c r="BJ23" s="7"/>
      <c r="BK23" s="7"/>
      <c r="BL23" s="7"/>
      <c r="BM23" s="48">
        <f t="shared" si="11"/>
        <v>0</v>
      </c>
      <c r="BN23" s="45"/>
      <c r="BO23" s="7"/>
      <c r="BP23" s="7"/>
      <c r="BQ23" s="7"/>
      <c r="BR23" s="7"/>
      <c r="BS23" s="48">
        <f t="shared" si="12"/>
        <v>0</v>
      </c>
      <c r="BT23" s="7"/>
      <c r="BU23" s="7"/>
      <c r="BV23" s="7"/>
      <c r="BW23" s="7"/>
      <c r="BX23" s="7"/>
      <c r="BY23" s="48">
        <f t="shared" si="13"/>
        <v>0</v>
      </c>
      <c r="BZ23" s="7"/>
      <c r="CA23" s="7"/>
      <c r="CB23" s="7"/>
      <c r="CC23" s="7"/>
      <c r="CD23" s="7"/>
      <c r="CE23" s="48">
        <f t="shared" si="14"/>
        <v>0</v>
      </c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</row>
    <row r="24" spans="1:115" ht="16" x14ac:dyDescent="0.2">
      <c r="A24" s="3" t="s">
        <v>54</v>
      </c>
      <c r="B24" s="3">
        <v>1</v>
      </c>
      <c r="C24" s="21" t="s">
        <v>53</v>
      </c>
      <c r="D24" s="3" t="s">
        <v>13</v>
      </c>
      <c r="E24" s="3">
        <v>1</v>
      </c>
      <c r="F24" s="3"/>
      <c r="G24" s="30" t="e">
        <f t="shared" si="0"/>
        <v>#DIV/0!</v>
      </c>
      <c r="H24" s="33" t="e">
        <f t="shared" si="1"/>
        <v>#DIV/0!</v>
      </c>
      <c r="I24" s="33" t="e">
        <f t="shared" si="2"/>
        <v>#DIV/0!</v>
      </c>
      <c r="J24" s="57"/>
      <c r="K24" s="44"/>
      <c r="L24" s="5"/>
      <c r="M24" s="5"/>
      <c r="N24" s="5"/>
      <c r="O24" s="5"/>
      <c r="P24" s="48" t="e">
        <f t="shared" si="3"/>
        <v>#DIV/0!</v>
      </c>
      <c r="Q24" s="44"/>
      <c r="R24" s="5"/>
      <c r="S24" s="5"/>
      <c r="T24" s="5"/>
      <c r="U24" s="5"/>
      <c r="V24" s="48" t="e">
        <f t="shared" si="4"/>
        <v>#DIV/0!</v>
      </c>
      <c r="W24" s="44"/>
      <c r="X24" s="5"/>
      <c r="Y24" s="5"/>
      <c r="Z24" s="5"/>
      <c r="AA24" s="5"/>
      <c r="AB24" s="48" t="e">
        <f t="shared" si="5"/>
        <v>#DIV/0!</v>
      </c>
      <c r="AC24" s="44"/>
      <c r="AD24" s="5"/>
      <c r="AE24" s="5"/>
      <c r="AF24" s="5"/>
      <c r="AG24" s="5"/>
      <c r="AH24" s="48" t="e">
        <f t="shared" si="6"/>
        <v>#DIV/0!</v>
      </c>
      <c r="AI24" s="44"/>
      <c r="AJ24" s="5"/>
      <c r="AK24" s="5"/>
      <c r="AL24" s="5"/>
      <c r="AM24" s="5"/>
      <c r="AN24" s="48" t="e">
        <f t="shared" si="7"/>
        <v>#DIV/0!</v>
      </c>
      <c r="AO24" s="44"/>
      <c r="AP24" s="5"/>
      <c r="AQ24" s="5"/>
      <c r="AR24" s="5"/>
      <c r="AS24" s="5"/>
      <c r="AT24" s="48" t="e">
        <f t="shared" si="8"/>
        <v>#DIV/0!</v>
      </c>
      <c r="AU24" s="44"/>
      <c r="AV24" s="5"/>
      <c r="AW24" s="5"/>
      <c r="AX24" s="5"/>
      <c r="AY24" s="5"/>
      <c r="AZ24" s="48" t="e">
        <f t="shared" si="9"/>
        <v>#DIV/0!</v>
      </c>
      <c r="BA24" s="44"/>
      <c r="BB24" s="5"/>
      <c r="BC24" s="5"/>
      <c r="BD24" s="5"/>
      <c r="BE24" s="5"/>
      <c r="BF24" s="48" t="e">
        <f t="shared" si="10"/>
        <v>#DIV/0!</v>
      </c>
      <c r="BG24" s="68"/>
      <c r="BH24" s="44"/>
      <c r="BI24" s="5"/>
      <c r="BJ24" s="5"/>
      <c r="BK24" s="5"/>
      <c r="BL24" s="5"/>
      <c r="BM24" s="48">
        <f t="shared" si="11"/>
        <v>0</v>
      </c>
      <c r="BN24" s="44"/>
      <c r="BO24" s="5"/>
      <c r="BP24" s="5"/>
      <c r="BQ24" s="5"/>
      <c r="BR24" s="5"/>
      <c r="BS24" s="48">
        <f t="shared" si="12"/>
        <v>0</v>
      </c>
      <c r="BT24" s="5"/>
      <c r="BU24" s="5"/>
      <c r="BV24" s="5"/>
      <c r="BW24" s="5"/>
      <c r="BX24" s="5"/>
      <c r="BY24" s="48">
        <f t="shared" si="13"/>
        <v>0</v>
      </c>
      <c r="BZ24" s="5"/>
      <c r="CA24" s="5"/>
      <c r="CB24" s="5"/>
      <c r="CC24" s="5"/>
      <c r="CD24" s="5"/>
      <c r="CE24" s="48">
        <f t="shared" si="14"/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 ht="16" x14ac:dyDescent="0.2">
      <c r="A25" s="2" t="s">
        <v>56</v>
      </c>
      <c r="B25" s="2">
        <v>1</v>
      </c>
      <c r="C25" s="22" t="s">
        <v>55</v>
      </c>
      <c r="D25" s="2" t="s">
        <v>13</v>
      </c>
      <c r="E25" s="2">
        <v>1</v>
      </c>
      <c r="F25" s="2"/>
      <c r="G25" s="30" t="e">
        <f t="shared" si="0"/>
        <v>#DIV/0!</v>
      </c>
      <c r="H25" s="33" t="e">
        <f t="shared" si="1"/>
        <v>#DIV/0!</v>
      </c>
      <c r="I25" s="33" t="e">
        <f t="shared" si="2"/>
        <v>#DIV/0!</v>
      </c>
      <c r="J25" s="57"/>
      <c r="K25" s="45"/>
      <c r="L25" s="7"/>
      <c r="M25" s="7"/>
      <c r="N25" s="7"/>
      <c r="O25" s="7"/>
      <c r="P25" s="48" t="e">
        <f t="shared" si="3"/>
        <v>#DIV/0!</v>
      </c>
      <c r="Q25" s="45"/>
      <c r="R25" s="7"/>
      <c r="S25" s="7"/>
      <c r="T25" s="7"/>
      <c r="U25" s="7"/>
      <c r="V25" s="48" t="e">
        <f t="shared" si="4"/>
        <v>#DIV/0!</v>
      </c>
      <c r="W25" s="45"/>
      <c r="X25" s="7"/>
      <c r="Y25" s="7"/>
      <c r="Z25" s="7"/>
      <c r="AA25" s="7"/>
      <c r="AB25" s="48" t="e">
        <f t="shared" si="5"/>
        <v>#DIV/0!</v>
      </c>
      <c r="AC25" s="45"/>
      <c r="AD25" s="7"/>
      <c r="AE25" s="7"/>
      <c r="AF25" s="7"/>
      <c r="AG25" s="7"/>
      <c r="AH25" s="48" t="e">
        <f t="shared" si="6"/>
        <v>#DIV/0!</v>
      </c>
      <c r="AI25" s="45"/>
      <c r="AJ25" s="7"/>
      <c r="AK25" s="7"/>
      <c r="AL25" s="7"/>
      <c r="AM25" s="7"/>
      <c r="AN25" s="48" t="e">
        <f t="shared" si="7"/>
        <v>#DIV/0!</v>
      </c>
      <c r="AO25" s="45"/>
      <c r="AP25" s="7"/>
      <c r="AQ25" s="7"/>
      <c r="AR25" s="7"/>
      <c r="AS25" s="7"/>
      <c r="AT25" s="48" t="e">
        <f t="shared" si="8"/>
        <v>#DIV/0!</v>
      </c>
      <c r="AU25" s="45"/>
      <c r="AV25" s="7"/>
      <c r="AW25" s="7"/>
      <c r="AX25" s="7"/>
      <c r="AY25" s="7"/>
      <c r="AZ25" s="48" t="e">
        <f t="shared" si="9"/>
        <v>#DIV/0!</v>
      </c>
      <c r="BA25" s="45"/>
      <c r="BB25" s="7"/>
      <c r="BC25" s="7"/>
      <c r="BD25" s="7"/>
      <c r="BE25" s="7"/>
      <c r="BF25" s="48" t="e">
        <f t="shared" si="10"/>
        <v>#DIV/0!</v>
      </c>
      <c r="BG25" s="68"/>
      <c r="BH25" s="45"/>
      <c r="BI25" s="7"/>
      <c r="BJ25" s="7"/>
      <c r="BK25" s="7"/>
      <c r="BL25" s="7"/>
      <c r="BM25" s="48">
        <f t="shared" si="11"/>
        <v>0</v>
      </c>
      <c r="BN25" s="45"/>
      <c r="BO25" s="7"/>
      <c r="BP25" s="7"/>
      <c r="BQ25" s="7"/>
      <c r="BR25" s="7"/>
      <c r="BS25" s="48">
        <f t="shared" si="12"/>
        <v>0</v>
      </c>
      <c r="BT25" s="7"/>
      <c r="BU25" s="7"/>
      <c r="BV25" s="7"/>
      <c r="BW25" s="7"/>
      <c r="BX25" s="7"/>
      <c r="BY25" s="48">
        <f t="shared" si="13"/>
        <v>0</v>
      </c>
      <c r="BZ25" s="7"/>
      <c r="CA25" s="7"/>
      <c r="CB25" s="7"/>
      <c r="CC25" s="7"/>
      <c r="CD25" s="7"/>
      <c r="CE25" s="48">
        <f t="shared" si="14"/>
        <v>0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</row>
    <row r="26" spans="1:115" ht="16" x14ac:dyDescent="0.2">
      <c r="A26" s="3" t="s">
        <v>58</v>
      </c>
      <c r="B26" s="3">
        <v>1</v>
      </c>
      <c r="C26" s="21" t="s">
        <v>57</v>
      </c>
      <c r="D26" s="3" t="s">
        <v>13</v>
      </c>
      <c r="E26" s="3">
        <v>1</v>
      </c>
      <c r="F26" s="3">
        <v>1</v>
      </c>
      <c r="G26" s="30" t="e">
        <f t="shared" si="0"/>
        <v>#DIV/0!</v>
      </c>
      <c r="H26" s="33" t="e">
        <f t="shared" si="1"/>
        <v>#DIV/0!</v>
      </c>
      <c r="I26" s="33" t="e">
        <f t="shared" si="2"/>
        <v>#DIV/0!</v>
      </c>
      <c r="J26" s="57"/>
      <c r="K26" s="44"/>
      <c r="L26" s="5"/>
      <c r="M26" s="5"/>
      <c r="N26" s="5"/>
      <c r="O26" s="5"/>
      <c r="P26" s="48" t="e">
        <f t="shared" si="3"/>
        <v>#DIV/0!</v>
      </c>
      <c r="Q26" s="44"/>
      <c r="R26" s="5"/>
      <c r="S26" s="5"/>
      <c r="T26" s="5"/>
      <c r="U26" s="5"/>
      <c r="V26" s="48" t="e">
        <f t="shared" si="4"/>
        <v>#DIV/0!</v>
      </c>
      <c r="W26" s="44"/>
      <c r="X26" s="5"/>
      <c r="Y26" s="5"/>
      <c r="Z26" s="5"/>
      <c r="AA26" s="5"/>
      <c r="AB26" s="48" t="e">
        <f t="shared" si="5"/>
        <v>#DIV/0!</v>
      </c>
      <c r="AC26" s="44"/>
      <c r="AD26" s="5"/>
      <c r="AE26" s="5"/>
      <c r="AF26" s="5"/>
      <c r="AG26" s="5"/>
      <c r="AH26" s="48" t="e">
        <f t="shared" si="6"/>
        <v>#DIV/0!</v>
      </c>
      <c r="AI26" s="44"/>
      <c r="AJ26" s="5"/>
      <c r="AK26" s="5"/>
      <c r="AL26" s="5"/>
      <c r="AM26" s="5"/>
      <c r="AN26" s="48" t="e">
        <f t="shared" si="7"/>
        <v>#DIV/0!</v>
      </c>
      <c r="AO26" s="44"/>
      <c r="AP26" s="5"/>
      <c r="AQ26" s="5"/>
      <c r="AR26" s="5"/>
      <c r="AS26" s="5"/>
      <c r="AT26" s="48" t="e">
        <f t="shared" si="8"/>
        <v>#DIV/0!</v>
      </c>
      <c r="AU26" s="44"/>
      <c r="AV26" s="5"/>
      <c r="AW26" s="5"/>
      <c r="AX26" s="5"/>
      <c r="AY26" s="5"/>
      <c r="AZ26" s="48" t="e">
        <f t="shared" si="9"/>
        <v>#DIV/0!</v>
      </c>
      <c r="BA26" s="44"/>
      <c r="BB26" s="5"/>
      <c r="BC26" s="5"/>
      <c r="BD26" s="5"/>
      <c r="BE26" s="5"/>
      <c r="BF26" s="48" t="e">
        <f t="shared" si="10"/>
        <v>#DIV/0!</v>
      </c>
      <c r="BG26" s="68"/>
      <c r="BH26" s="44"/>
      <c r="BI26" s="5"/>
      <c r="BJ26" s="5"/>
      <c r="BK26" s="5"/>
      <c r="BL26" s="5"/>
      <c r="BM26" s="48">
        <f t="shared" si="11"/>
        <v>0</v>
      </c>
      <c r="BN26" s="44"/>
      <c r="BO26" s="5"/>
      <c r="BP26" s="5"/>
      <c r="BQ26" s="5"/>
      <c r="BR26" s="5"/>
      <c r="BS26" s="48">
        <f t="shared" si="12"/>
        <v>0</v>
      </c>
      <c r="BT26" s="5"/>
      <c r="BU26" s="5"/>
      <c r="BV26" s="5"/>
      <c r="BW26" s="5"/>
      <c r="BX26" s="5"/>
      <c r="BY26" s="48">
        <f t="shared" si="13"/>
        <v>0</v>
      </c>
      <c r="BZ26" s="5"/>
      <c r="CA26" s="5"/>
      <c r="CB26" s="5"/>
      <c r="CC26" s="5"/>
      <c r="CD26" s="5"/>
      <c r="CE26" s="48">
        <f t="shared" si="14"/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</row>
    <row r="27" spans="1:115" ht="16" x14ac:dyDescent="0.2">
      <c r="A27" s="2" t="s">
        <v>60</v>
      </c>
      <c r="B27" s="2">
        <v>1</v>
      </c>
      <c r="C27" s="22" t="s">
        <v>59</v>
      </c>
      <c r="D27" s="2" t="s">
        <v>13</v>
      </c>
      <c r="E27" s="2"/>
      <c r="F27" s="2"/>
      <c r="G27" s="30" t="e">
        <f t="shared" si="0"/>
        <v>#DIV/0!</v>
      </c>
      <c r="H27" s="33" t="e">
        <f t="shared" si="1"/>
        <v>#DIV/0!</v>
      </c>
      <c r="I27" s="33" t="e">
        <f t="shared" si="2"/>
        <v>#DIV/0!</v>
      </c>
      <c r="J27" s="57"/>
      <c r="K27" s="45"/>
      <c r="L27" s="7"/>
      <c r="M27" s="7"/>
      <c r="N27" s="7"/>
      <c r="O27" s="7"/>
      <c r="P27" s="48" t="e">
        <f t="shared" si="3"/>
        <v>#DIV/0!</v>
      </c>
      <c r="Q27" s="45"/>
      <c r="R27" s="7"/>
      <c r="S27" s="7"/>
      <c r="T27" s="7"/>
      <c r="U27" s="7"/>
      <c r="V27" s="48" t="e">
        <f t="shared" si="4"/>
        <v>#DIV/0!</v>
      </c>
      <c r="W27" s="45"/>
      <c r="X27" s="7"/>
      <c r="Y27" s="7"/>
      <c r="Z27" s="7"/>
      <c r="AA27" s="7"/>
      <c r="AB27" s="48" t="e">
        <f t="shared" si="5"/>
        <v>#DIV/0!</v>
      </c>
      <c r="AC27" s="45"/>
      <c r="AD27" s="7"/>
      <c r="AE27" s="7"/>
      <c r="AF27" s="7"/>
      <c r="AG27" s="7"/>
      <c r="AH27" s="48" t="e">
        <f t="shared" si="6"/>
        <v>#DIV/0!</v>
      </c>
      <c r="AI27" s="45"/>
      <c r="AJ27" s="7"/>
      <c r="AK27" s="7"/>
      <c r="AL27" s="7"/>
      <c r="AM27" s="7"/>
      <c r="AN27" s="48" t="e">
        <f t="shared" si="7"/>
        <v>#DIV/0!</v>
      </c>
      <c r="AO27" s="45"/>
      <c r="AP27" s="7"/>
      <c r="AQ27" s="7"/>
      <c r="AR27" s="7"/>
      <c r="AS27" s="7"/>
      <c r="AT27" s="48" t="e">
        <f t="shared" si="8"/>
        <v>#DIV/0!</v>
      </c>
      <c r="AU27" s="45"/>
      <c r="AV27" s="7"/>
      <c r="AW27" s="7"/>
      <c r="AX27" s="7"/>
      <c r="AY27" s="7"/>
      <c r="AZ27" s="48" t="e">
        <f t="shared" si="9"/>
        <v>#DIV/0!</v>
      </c>
      <c r="BA27" s="45"/>
      <c r="BB27" s="7"/>
      <c r="BC27" s="7"/>
      <c r="BD27" s="7"/>
      <c r="BE27" s="7"/>
      <c r="BF27" s="48" t="e">
        <f t="shared" si="10"/>
        <v>#DIV/0!</v>
      </c>
      <c r="BG27" s="68"/>
      <c r="BH27" s="45"/>
      <c r="BI27" s="7"/>
      <c r="BJ27" s="7"/>
      <c r="BK27" s="7"/>
      <c r="BL27" s="7"/>
      <c r="BM27" s="48">
        <f t="shared" si="11"/>
        <v>0</v>
      </c>
      <c r="BN27" s="45"/>
      <c r="BO27" s="7"/>
      <c r="BP27" s="7"/>
      <c r="BQ27" s="7"/>
      <c r="BR27" s="7"/>
      <c r="BS27" s="48">
        <f t="shared" si="12"/>
        <v>0</v>
      </c>
      <c r="BT27" s="7"/>
      <c r="BU27" s="7"/>
      <c r="BV27" s="7"/>
      <c r="BW27" s="7"/>
      <c r="BX27" s="7"/>
      <c r="BY27" s="48">
        <f t="shared" si="13"/>
        <v>0</v>
      </c>
      <c r="BZ27" s="7"/>
      <c r="CA27" s="7"/>
      <c r="CB27" s="7"/>
      <c r="CC27" s="7"/>
      <c r="CD27" s="7"/>
      <c r="CE27" s="48">
        <f t="shared" si="14"/>
        <v>0</v>
      </c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</row>
    <row r="28" spans="1:115" ht="16" x14ac:dyDescent="0.2">
      <c r="A28" s="3" t="s">
        <v>62</v>
      </c>
      <c r="B28" s="3">
        <v>1</v>
      </c>
      <c r="C28" s="21" t="s">
        <v>61</v>
      </c>
      <c r="D28" s="3" t="s">
        <v>13</v>
      </c>
      <c r="E28" s="3">
        <v>1</v>
      </c>
      <c r="F28" s="3"/>
      <c r="G28" s="30" t="e">
        <f t="shared" si="0"/>
        <v>#DIV/0!</v>
      </c>
      <c r="H28" s="33" t="e">
        <f t="shared" si="1"/>
        <v>#DIV/0!</v>
      </c>
      <c r="I28" s="33" t="e">
        <f t="shared" si="2"/>
        <v>#DIV/0!</v>
      </c>
      <c r="J28" s="57"/>
      <c r="K28" s="44"/>
      <c r="L28" s="5"/>
      <c r="M28" s="5"/>
      <c r="N28" s="5"/>
      <c r="O28" s="5"/>
      <c r="P28" s="48" t="e">
        <f t="shared" si="3"/>
        <v>#DIV/0!</v>
      </c>
      <c r="Q28" s="44"/>
      <c r="R28" s="5"/>
      <c r="S28" s="5"/>
      <c r="T28" s="5"/>
      <c r="U28" s="5"/>
      <c r="V28" s="48" t="e">
        <f t="shared" si="4"/>
        <v>#DIV/0!</v>
      </c>
      <c r="W28" s="44"/>
      <c r="X28" s="5"/>
      <c r="Y28" s="5"/>
      <c r="Z28" s="5"/>
      <c r="AA28" s="5"/>
      <c r="AB28" s="48" t="e">
        <f t="shared" si="5"/>
        <v>#DIV/0!</v>
      </c>
      <c r="AC28" s="44"/>
      <c r="AD28" s="5"/>
      <c r="AE28" s="5"/>
      <c r="AF28" s="5"/>
      <c r="AG28" s="5"/>
      <c r="AH28" s="48" t="e">
        <f t="shared" si="6"/>
        <v>#DIV/0!</v>
      </c>
      <c r="AI28" s="44"/>
      <c r="AJ28" s="5"/>
      <c r="AK28" s="5"/>
      <c r="AL28" s="5"/>
      <c r="AM28" s="5"/>
      <c r="AN28" s="48" t="e">
        <f t="shared" si="7"/>
        <v>#DIV/0!</v>
      </c>
      <c r="AO28" s="44"/>
      <c r="AP28" s="5"/>
      <c r="AQ28" s="5"/>
      <c r="AR28" s="5"/>
      <c r="AS28" s="5"/>
      <c r="AT28" s="48" t="e">
        <f t="shared" si="8"/>
        <v>#DIV/0!</v>
      </c>
      <c r="AU28" s="44"/>
      <c r="AV28" s="5"/>
      <c r="AW28" s="5"/>
      <c r="AX28" s="5"/>
      <c r="AY28" s="5"/>
      <c r="AZ28" s="48" t="e">
        <f t="shared" si="9"/>
        <v>#DIV/0!</v>
      </c>
      <c r="BA28" s="44"/>
      <c r="BB28" s="5"/>
      <c r="BC28" s="5"/>
      <c r="BD28" s="5"/>
      <c r="BE28" s="5"/>
      <c r="BF28" s="48" t="e">
        <f t="shared" si="10"/>
        <v>#DIV/0!</v>
      </c>
      <c r="BG28" s="68"/>
      <c r="BH28" s="44"/>
      <c r="BI28" s="5"/>
      <c r="BJ28" s="5"/>
      <c r="BK28" s="5"/>
      <c r="BL28" s="5"/>
      <c r="BM28" s="48">
        <f t="shared" si="11"/>
        <v>0</v>
      </c>
      <c r="BN28" s="44"/>
      <c r="BO28" s="5"/>
      <c r="BP28" s="5"/>
      <c r="BQ28" s="5"/>
      <c r="BR28" s="5"/>
      <c r="BS28" s="48">
        <f t="shared" si="12"/>
        <v>0</v>
      </c>
      <c r="BT28" s="5"/>
      <c r="BU28" s="5"/>
      <c r="BV28" s="5"/>
      <c r="BW28" s="5"/>
      <c r="BX28" s="5"/>
      <c r="BY28" s="48">
        <f t="shared" si="13"/>
        <v>0</v>
      </c>
      <c r="BZ28" s="5"/>
      <c r="CA28" s="5"/>
      <c r="CB28" s="5"/>
      <c r="CC28" s="5"/>
      <c r="CD28" s="5"/>
      <c r="CE28" s="48">
        <f t="shared" si="14"/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 ht="16" x14ac:dyDescent="0.2">
      <c r="A29" s="2" t="s">
        <v>64</v>
      </c>
      <c r="B29" s="2">
        <v>1</v>
      </c>
      <c r="C29" s="22" t="s">
        <v>63</v>
      </c>
      <c r="D29" s="2" t="s">
        <v>13</v>
      </c>
      <c r="E29" s="2">
        <v>1</v>
      </c>
      <c r="F29" s="2"/>
      <c r="G29" s="30" t="e">
        <f t="shared" si="0"/>
        <v>#DIV/0!</v>
      </c>
      <c r="H29" s="33" t="e">
        <f t="shared" si="1"/>
        <v>#DIV/0!</v>
      </c>
      <c r="I29" s="33" t="e">
        <f t="shared" si="2"/>
        <v>#DIV/0!</v>
      </c>
      <c r="J29" s="57"/>
      <c r="K29" s="45"/>
      <c r="L29" s="7"/>
      <c r="M29" s="7"/>
      <c r="N29" s="7"/>
      <c r="O29" s="7"/>
      <c r="P29" s="48" t="e">
        <f t="shared" si="3"/>
        <v>#DIV/0!</v>
      </c>
      <c r="Q29" s="45"/>
      <c r="R29" s="7"/>
      <c r="S29" s="7"/>
      <c r="T29" s="7"/>
      <c r="U29" s="7"/>
      <c r="V29" s="48" t="e">
        <f t="shared" si="4"/>
        <v>#DIV/0!</v>
      </c>
      <c r="W29" s="45"/>
      <c r="X29" s="7"/>
      <c r="Y29" s="7"/>
      <c r="Z29" s="7"/>
      <c r="AA29" s="7"/>
      <c r="AB29" s="48" t="e">
        <f t="shared" si="5"/>
        <v>#DIV/0!</v>
      </c>
      <c r="AC29" s="45"/>
      <c r="AD29" s="7"/>
      <c r="AE29" s="7"/>
      <c r="AF29" s="7"/>
      <c r="AG29" s="7"/>
      <c r="AH29" s="48" t="e">
        <f t="shared" si="6"/>
        <v>#DIV/0!</v>
      </c>
      <c r="AI29" s="45"/>
      <c r="AJ29" s="7"/>
      <c r="AK29" s="7"/>
      <c r="AL29" s="7"/>
      <c r="AM29" s="7"/>
      <c r="AN29" s="48" t="e">
        <f t="shared" si="7"/>
        <v>#DIV/0!</v>
      </c>
      <c r="AO29" s="45"/>
      <c r="AP29" s="7"/>
      <c r="AQ29" s="7"/>
      <c r="AR29" s="7"/>
      <c r="AS29" s="7"/>
      <c r="AT29" s="48" t="e">
        <f t="shared" si="8"/>
        <v>#DIV/0!</v>
      </c>
      <c r="AU29" s="45"/>
      <c r="AV29" s="7"/>
      <c r="AW29" s="7"/>
      <c r="AX29" s="7"/>
      <c r="AY29" s="7"/>
      <c r="AZ29" s="48" t="e">
        <f t="shared" si="9"/>
        <v>#DIV/0!</v>
      </c>
      <c r="BA29" s="45"/>
      <c r="BB29" s="7"/>
      <c r="BC29" s="7"/>
      <c r="BD29" s="7"/>
      <c r="BE29" s="7"/>
      <c r="BF29" s="48" t="e">
        <f t="shared" si="10"/>
        <v>#DIV/0!</v>
      </c>
      <c r="BG29" s="68"/>
      <c r="BH29" s="45"/>
      <c r="BI29" s="7"/>
      <c r="BJ29" s="7"/>
      <c r="BK29" s="7"/>
      <c r="BL29" s="7"/>
      <c r="BM29" s="48">
        <f t="shared" si="11"/>
        <v>0</v>
      </c>
      <c r="BN29" s="45"/>
      <c r="BO29" s="7"/>
      <c r="BP29" s="7"/>
      <c r="BQ29" s="7"/>
      <c r="BR29" s="7"/>
      <c r="BS29" s="48">
        <f t="shared" si="12"/>
        <v>0</v>
      </c>
      <c r="BT29" s="7"/>
      <c r="BU29" s="7"/>
      <c r="BV29" s="7"/>
      <c r="BW29" s="7"/>
      <c r="BX29" s="7"/>
      <c r="BY29" s="48">
        <f t="shared" si="13"/>
        <v>0</v>
      </c>
      <c r="BZ29" s="7"/>
      <c r="CA29" s="7"/>
      <c r="CB29" s="7"/>
      <c r="CC29" s="7"/>
      <c r="CD29" s="7"/>
      <c r="CE29" s="48">
        <f t="shared" si="14"/>
        <v>0</v>
      </c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</row>
    <row r="30" spans="1:115" ht="16" x14ac:dyDescent="0.2">
      <c r="A30" s="3" t="s">
        <v>66</v>
      </c>
      <c r="B30" s="3">
        <v>1</v>
      </c>
      <c r="C30" s="21" t="s">
        <v>65</v>
      </c>
      <c r="D30" s="3" t="s">
        <v>13</v>
      </c>
      <c r="E30" s="3">
        <v>1</v>
      </c>
      <c r="F30" s="3"/>
      <c r="G30" s="30" t="e">
        <f t="shared" si="0"/>
        <v>#DIV/0!</v>
      </c>
      <c r="H30" s="33" t="e">
        <f t="shared" si="1"/>
        <v>#DIV/0!</v>
      </c>
      <c r="I30" s="33" t="e">
        <f t="shared" si="2"/>
        <v>#DIV/0!</v>
      </c>
      <c r="J30" s="57"/>
      <c r="K30" s="44"/>
      <c r="L30" s="5"/>
      <c r="M30" s="5"/>
      <c r="N30" s="5"/>
      <c r="O30" s="5"/>
      <c r="P30" s="48" t="e">
        <f t="shared" si="3"/>
        <v>#DIV/0!</v>
      </c>
      <c r="Q30" s="44"/>
      <c r="R30" s="5"/>
      <c r="S30" s="5"/>
      <c r="T30" s="5"/>
      <c r="U30" s="5"/>
      <c r="V30" s="48" t="e">
        <f t="shared" si="4"/>
        <v>#DIV/0!</v>
      </c>
      <c r="W30" s="44"/>
      <c r="X30" s="5"/>
      <c r="Y30" s="5"/>
      <c r="Z30" s="5"/>
      <c r="AA30" s="5"/>
      <c r="AB30" s="48" t="e">
        <f t="shared" si="5"/>
        <v>#DIV/0!</v>
      </c>
      <c r="AC30" s="44"/>
      <c r="AD30" s="5"/>
      <c r="AE30" s="5"/>
      <c r="AF30" s="5"/>
      <c r="AG30" s="5"/>
      <c r="AH30" s="48" t="e">
        <f t="shared" si="6"/>
        <v>#DIV/0!</v>
      </c>
      <c r="AI30" s="44"/>
      <c r="AJ30" s="5"/>
      <c r="AK30" s="5"/>
      <c r="AL30" s="5"/>
      <c r="AM30" s="5"/>
      <c r="AN30" s="48" t="e">
        <f t="shared" si="7"/>
        <v>#DIV/0!</v>
      </c>
      <c r="AO30" s="44"/>
      <c r="AP30" s="5"/>
      <c r="AQ30" s="5"/>
      <c r="AR30" s="5"/>
      <c r="AS30" s="5"/>
      <c r="AT30" s="48" t="e">
        <f t="shared" si="8"/>
        <v>#DIV/0!</v>
      </c>
      <c r="AU30" s="44"/>
      <c r="AV30" s="5"/>
      <c r="AW30" s="5"/>
      <c r="AX30" s="5"/>
      <c r="AY30" s="5"/>
      <c r="AZ30" s="48" t="e">
        <f t="shared" si="9"/>
        <v>#DIV/0!</v>
      </c>
      <c r="BA30" s="44"/>
      <c r="BB30" s="5"/>
      <c r="BC30" s="5"/>
      <c r="BD30" s="5"/>
      <c r="BE30" s="5"/>
      <c r="BF30" s="48" t="e">
        <f t="shared" si="10"/>
        <v>#DIV/0!</v>
      </c>
      <c r="BG30" s="68"/>
      <c r="BH30" s="44"/>
      <c r="BI30" s="5"/>
      <c r="BJ30" s="5"/>
      <c r="BK30" s="5"/>
      <c r="BL30" s="5"/>
      <c r="BM30" s="48">
        <f t="shared" si="11"/>
        <v>0</v>
      </c>
      <c r="BN30" s="44"/>
      <c r="BO30" s="5"/>
      <c r="BP30" s="5"/>
      <c r="BQ30" s="5"/>
      <c r="BR30" s="5"/>
      <c r="BS30" s="48">
        <f t="shared" si="12"/>
        <v>0</v>
      </c>
      <c r="BT30" s="5"/>
      <c r="BU30" s="5"/>
      <c r="BV30" s="5"/>
      <c r="BW30" s="5"/>
      <c r="BX30" s="5"/>
      <c r="BY30" s="48">
        <f t="shared" si="13"/>
        <v>0</v>
      </c>
      <c r="BZ30" s="5"/>
      <c r="CA30" s="5"/>
      <c r="CB30" s="5"/>
      <c r="CC30" s="5"/>
      <c r="CD30" s="5"/>
      <c r="CE30" s="48">
        <f t="shared" si="14"/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 ht="16" x14ac:dyDescent="0.2">
      <c r="A31" s="2" t="s">
        <v>68</v>
      </c>
      <c r="B31" s="2">
        <v>1</v>
      </c>
      <c r="C31" s="22" t="s">
        <v>67</v>
      </c>
      <c r="D31" s="2" t="s">
        <v>13</v>
      </c>
      <c r="E31" s="2">
        <v>1</v>
      </c>
      <c r="F31" s="2"/>
      <c r="G31" s="30" t="e">
        <f t="shared" si="0"/>
        <v>#DIV/0!</v>
      </c>
      <c r="H31" s="33" t="e">
        <f t="shared" si="1"/>
        <v>#DIV/0!</v>
      </c>
      <c r="I31" s="33" t="e">
        <f t="shared" si="2"/>
        <v>#DIV/0!</v>
      </c>
      <c r="J31" s="57"/>
      <c r="K31" s="45"/>
      <c r="L31" s="7"/>
      <c r="M31" s="7"/>
      <c r="N31" s="7"/>
      <c r="O31" s="7"/>
      <c r="P31" s="48" t="e">
        <f t="shared" si="3"/>
        <v>#DIV/0!</v>
      </c>
      <c r="Q31" s="45"/>
      <c r="R31" s="7"/>
      <c r="S31" s="7"/>
      <c r="T31" s="7"/>
      <c r="U31" s="7"/>
      <c r="V31" s="48" t="e">
        <f t="shared" si="4"/>
        <v>#DIV/0!</v>
      </c>
      <c r="W31" s="45"/>
      <c r="X31" s="7"/>
      <c r="Y31" s="7"/>
      <c r="Z31" s="7"/>
      <c r="AA31" s="7"/>
      <c r="AB31" s="48" t="e">
        <f t="shared" si="5"/>
        <v>#DIV/0!</v>
      </c>
      <c r="AC31" s="45"/>
      <c r="AD31" s="7"/>
      <c r="AE31" s="7"/>
      <c r="AF31" s="7"/>
      <c r="AG31" s="7"/>
      <c r="AH31" s="48" t="e">
        <f t="shared" si="6"/>
        <v>#DIV/0!</v>
      </c>
      <c r="AI31" s="45"/>
      <c r="AJ31" s="7"/>
      <c r="AK31" s="7"/>
      <c r="AL31" s="7"/>
      <c r="AM31" s="7"/>
      <c r="AN31" s="48" t="e">
        <f t="shared" si="7"/>
        <v>#DIV/0!</v>
      </c>
      <c r="AO31" s="45"/>
      <c r="AP31" s="7"/>
      <c r="AQ31" s="7"/>
      <c r="AR31" s="7"/>
      <c r="AS31" s="7"/>
      <c r="AT31" s="48" t="e">
        <f t="shared" si="8"/>
        <v>#DIV/0!</v>
      </c>
      <c r="AU31" s="45"/>
      <c r="AV31" s="7"/>
      <c r="AW31" s="7"/>
      <c r="AX31" s="7"/>
      <c r="AY31" s="7"/>
      <c r="AZ31" s="48" t="e">
        <f t="shared" si="9"/>
        <v>#DIV/0!</v>
      </c>
      <c r="BA31" s="45"/>
      <c r="BB31" s="7"/>
      <c r="BC31" s="7"/>
      <c r="BD31" s="7"/>
      <c r="BE31" s="7"/>
      <c r="BF31" s="48" t="e">
        <f t="shared" si="10"/>
        <v>#DIV/0!</v>
      </c>
      <c r="BG31" s="68"/>
      <c r="BH31" s="45"/>
      <c r="BI31" s="7"/>
      <c r="BJ31" s="7"/>
      <c r="BK31" s="7"/>
      <c r="BL31" s="7"/>
      <c r="BM31" s="48">
        <f t="shared" si="11"/>
        <v>0</v>
      </c>
      <c r="BN31" s="45"/>
      <c r="BO31" s="7"/>
      <c r="BP31" s="7"/>
      <c r="BQ31" s="7"/>
      <c r="BR31" s="7"/>
      <c r="BS31" s="48">
        <f t="shared" si="12"/>
        <v>0</v>
      </c>
      <c r="BT31" s="7"/>
      <c r="BU31" s="7"/>
      <c r="BV31" s="7"/>
      <c r="BW31" s="7">
        <v>1</v>
      </c>
      <c r="BX31" s="7"/>
      <c r="BY31" s="48">
        <f t="shared" si="13"/>
        <v>0.2</v>
      </c>
      <c r="BZ31" s="7"/>
      <c r="CA31" s="7"/>
      <c r="CB31" s="7"/>
      <c r="CC31" s="7">
        <v>1</v>
      </c>
      <c r="CD31" s="7"/>
      <c r="CE31" s="48">
        <f t="shared" si="14"/>
        <v>0.2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</row>
    <row r="32" spans="1:115" ht="16" x14ac:dyDescent="0.2">
      <c r="A32" s="3" t="s">
        <v>70</v>
      </c>
      <c r="B32" s="3">
        <v>1</v>
      </c>
      <c r="C32" s="21" t="s">
        <v>69</v>
      </c>
      <c r="D32" s="3" t="s">
        <v>13</v>
      </c>
      <c r="E32" s="3">
        <v>1</v>
      </c>
      <c r="F32" s="3">
        <v>1</v>
      </c>
      <c r="G32" s="30">
        <f t="shared" si="0"/>
        <v>24.359999999999996</v>
      </c>
      <c r="H32" s="33">
        <f t="shared" si="1"/>
        <v>34.799999999999997</v>
      </c>
      <c r="I32" s="33">
        <f t="shared" si="2"/>
        <v>34.799999999999997</v>
      </c>
      <c r="J32" s="57"/>
      <c r="K32" s="44">
        <v>0.8</v>
      </c>
      <c r="L32" s="5">
        <v>0.8</v>
      </c>
      <c r="M32" s="5">
        <v>0</v>
      </c>
      <c r="N32" s="5">
        <v>0</v>
      </c>
      <c r="O32" s="5">
        <v>0</v>
      </c>
      <c r="P32" s="48">
        <f t="shared" si="3"/>
        <v>0.32</v>
      </c>
      <c r="Q32" s="44">
        <v>0.5</v>
      </c>
      <c r="R32" s="5">
        <v>0.5</v>
      </c>
      <c r="S32" s="5">
        <v>0</v>
      </c>
      <c r="T32" s="5">
        <v>0</v>
      </c>
      <c r="U32" s="5">
        <v>0</v>
      </c>
      <c r="V32" s="48">
        <f t="shared" si="4"/>
        <v>0.2</v>
      </c>
      <c r="W32" s="44">
        <v>0</v>
      </c>
      <c r="X32" s="5">
        <v>0</v>
      </c>
      <c r="Y32" s="5">
        <v>0</v>
      </c>
      <c r="Z32" s="5">
        <v>0</v>
      </c>
      <c r="AA32" s="5">
        <v>0</v>
      </c>
      <c r="AB32" s="48">
        <f t="shared" si="5"/>
        <v>0</v>
      </c>
      <c r="AC32" s="44">
        <v>0</v>
      </c>
      <c r="AD32" s="5">
        <v>0</v>
      </c>
      <c r="AE32" s="5">
        <v>0</v>
      </c>
      <c r="AF32" s="5">
        <v>0</v>
      </c>
      <c r="AG32" s="5">
        <v>0</v>
      </c>
      <c r="AH32" s="48">
        <f t="shared" si="6"/>
        <v>0</v>
      </c>
      <c r="AI32" s="44">
        <v>0</v>
      </c>
      <c r="AJ32" s="5">
        <v>0</v>
      </c>
      <c r="AK32" s="5">
        <v>0</v>
      </c>
      <c r="AL32" s="5">
        <v>0</v>
      </c>
      <c r="AM32" s="5">
        <v>0</v>
      </c>
      <c r="AN32" s="48">
        <f t="shared" si="7"/>
        <v>0</v>
      </c>
      <c r="AO32" s="44">
        <v>0</v>
      </c>
      <c r="AP32" s="5">
        <v>0</v>
      </c>
      <c r="AQ32" s="5">
        <v>0</v>
      </c>
      <c r="AR32" s="5">
        <v>0</v>
      </c>
      <c r="AS32" s="5">
        <v>0</v>
      </c>
      <c r="AT32" s="48">
        <f t="shared" si="8"/>
        <v>0</v>
      </c>
      <c r="AU32" s="44">
        <v>0.5</v>
      </c>
      <c r="AV32" s="5">
        <v>0.8</v>
      </c>
      <c r="AW32" s="5">
        <v>0.8</v>
      </c>
      <c r="AX32" s="5">
        <v>0.8</v>
      </c>
      <c r="AY32" s="5">
        <v>0.8</v>
      </c>
      <c r="AZ32" s="48">
        <f t="shared" si="9"/>
        <v>0.74</v>
      </c>
      <c r="BA32" s="44">
        <v>0.5</v>
      </c>
      <c r="BB32" s="5">
        <v>0.8</v>
      </c>
      <c r="BC32" s="5">
        <v>0.8</v>
      </c>
      <c r="BD32" s="5">
        <v>0.8</v>
      </c>
      <c r="BE32" s="5">
        <v>0.8</v>
      </c>
      <c r="BF32" s="48">
        <f t="shared" si="10"/>
        <v>0.74</v>
      </c>
      <c r="BG32" s="68"/>
      <c r="BH32" s="44"/>
      <c r="BI32" s="5"/>
      <c r="BJ32" s="5"/>
      <c r="BK32" s="5"/>
      <c r="BL32" s="5"/>
      <c r="BM32" s="48">
        <f t="shared" si="11"/>
        <v>0</v>
      </c>
      <c r="BN32" s="44"/>
      <c r="BO32" s="5"/>
      <c r="BP32" s="5"/>
      <c r="BQ32" s="5"/>
      <c r="BR32" s="5"/>
      <c r="BS32" s="48">
        <f t="shared" si="12"/>
        <v>0</v>
      </c>
      <c r="BT32" s="5"/>
      <c r="BU32" s="5"/>
      <c r="BV32" s="5"/>
      <c r="BW32" s="5"/>
      <c r="BX32" s="5"/>
      <c r="BY32" s="48">
        <f t="shared" si="13"/>
        <v>0</v>
      </c>
      <c r="BZ32" s="5"/>
      <c r="CA32" s="5"/>
      <c r="CB32" s="5"/>
      <c r="CC32" s="5"/>
      <c r="CD32" s="5"/>
      <c r="CE32" s="48">
        <f t="shared" si="14"/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 ht="16" x14ac:dyDescent="0.2">
      <c r="A33" s="2" t="s">
        <v>72</v>
      </c>
      <c r="B33" s="2">
        <v>1</v>
      </c>
      <c r="C33" s="22" t="s">
        <v>71</v>
      </c>
      <c r="D33" s="2" t="s">
        <v>13</v>
      </c>
      <c r="E33" s="2">
        <v>1</v>
      </c>
      <c r="F33" s="2"/>
      <c r="G33" s="30" t="e">
        <f t="shared" si="0"/>
        <v>#DIV/0!</v>
      </c>
      <c r="H33" s="33" t="e">
        <f t="shared" si="1"/>
        <v>#DIV/0!</v>
      </c>
      <c r="I33" s="33" t="e">
        <f t="shared" si="2"/>
        <v>#DIV/0!</v>
      </c>
      <c r="J33" s="57"/>
      <c r="K33" s="45"/>
      <c r="L33" s="7"/>
      <c r="M33" s="7"/>
      <c r="N33" s="7"/>
      <c r="O33" s="7"/>
      <c r="P33" s="48" t="e">
        <f t="shared" si="3"/>
        <v>#DIV/0!</v>
      </c>
      <c r="Q33" s="45"/>
      <c r="R33" s="7"/>
      <c r="S33" s="7"/>
      <c r="T33" s="7"/>
      <c r="U33" s="7"/>
      <c r="V33" s="48" t="e">
        <f t="shared" si="4"/>
        <v>#DIV/0!</v>
      </c>
      <c r="W33" s="45"/>
      <c r="X33" s="7"/>
      <c r="Y33" s="7"/>
      <c r="Z33" s="7"/>
      <c r="AA33" s="7"/>
      <c r="AB33" s="48" t="e">
        <f t="shared" si="5"/>
        <v>#DIV/0!</v>
      </c>
      <c r="AC33" s="45"/>
      <c r="AD33" s="7"/>
      <c r="AE33" s="7"/>
      <c r="AF33" s="7"/>
      <c r="AG33" s="7"/>
      <c r="AH33" s="48" t="e">
        <f t="shared" si="6"/>
        <v>#DIV/0!</v>
      </c>
      <c r="AI33" s="45"/>
      <c r="AJ33" s="7"/>
      <c r="AK33" s="7"/>
      <c r="AL33" s="7"/>
      <c r="AM33" s="7"/>
      <c r="AN33" s="48" t="e">
        <f t="shared" si="7"/>
        <v>#DIV/0!</v>
      </c>
      <c r="AO33" s="45"/>
      <c r="AP33" s="7"/>
      <c r="AQ33" s="7"/>
      <c r="AR33" s="7"/>
      <c r="AS33" s="7"/>
      <c r="AT33" s="48" t="e">
        <f t="shared" si="8"/>
        <v>#DIV/0!</v>
      </c>
      <c r="AU33" s="45"/>
      <c r="AV33" s="7"/>
      <c r="AW33" s="7"/>
      <c r="AX33" s="7"/>
      <c r="AY33" s="7"/>
      <c r="AZ33" s="48" t="e">
        <f t="shared" si="9"/>
        <v>#DIV/0!</v>
      </c>
      <c r="BA33" s="45"/>
      <c r="BB33" s="7"/>
      <c r="BC33" s="7"/>
      <c r="BD33" s="7"/>
      <c r="BE33" s="7"/>
      <c r="BF33" s="48" t="e">
        <f t="shared" si="10"/>
        <v>#DIV/0!</v>
      </c>
      <c r="BG33" s="68"/>
      <c r="BH33" s="45"/>
      <c r="BI33" s="7"/>
      <c r="BJ33" s="7"/>
      <c r="BK33" s="7"/>
      <c r="BL33" s="7"/>
      <c r="BM33" s="48">
        <f t="shared" si="11"/>
        <v>0</v>
      </c>
      <c r="BN33" s="45"/>
      <c r="BO33" s="7"/>
      <c r="BP33" s="7"/>
      <c r="BQ33" s="7"/>
      <c r="BR33" s="7"/>
      <c r="BS33" s="48">
        <f t="shared" si="12"/>
        <v>0</v>
      </c>
      <c r="BT33" s="7"/>
      <c r="BU33" s="7"/>
      <c r="BV33" s="7"/>
      <c r="BW33" s="7"/>
      <c r="BX33" s="7"/>
      <c r="BY33" s="48">
        <f t="shared" si="13"/>
        <v>0</v>
      </c>
      <c r="BZ33" s="7"/>
      <c r="CA33" s="7"/>
      <c r="CB33" s="7"/>
      <c r="CC33" s="7"/>
      <c r="CD33" s="7"/>
      <c r="CE33" s="48">
        <f t="shared" si="14"/>
        <v>0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</row>
    <row r="34" spans="1:115" ht="16" x14ac:dyDescent="0.2">
      <c r="A34" s="3" t="s">
        <v>74</v>
      </c>
      <c r="B34" s="3">
        <v>1</v>
      </c>
      <c r="C34" s="21" t="s">
        <v>73</v>
      </c>
      <c r="D34" s="3" t="s">
        <v>13</v>
      </c>
      <c r="E34" s="3">
        <v>1</v>
      </c>
      <c r="F34" s="3"/>
      <c r="G34" s="30" t="e">
        <f t="shared" si="0"/>
        <v>#DIV/0!</v>
      </c>
      <c r="H34" s="33" t="e">
        <f t="shared" si="1"/>
        <v>#DIV/0!</v>
      </c>
      <c r="I34" s="33" t="e">
        <f t="shared" si="2"/>
        <v>#DIV/0!</v>
      </c>
      <c r="J34" s="57"/>
      <c r="K34" s="44"/>
      <c r="L34" s="5"/>
      <c r="M34" s="5"/>
      <c r="N34" s="5"/>
      <c r="O34" s="5"/>
      <c r="P34" s="48" t="e">
        <f t="shared" si="3"/>
        <v>#DIV/0!</v>
      </c>
      <c r="Q34" s="44"/>
      <c r="R34" s="5"/>
      <c r="S34" s="5"/>
      <c r="T34" s="5"/>
      <c r="U34" s="5"/>
      <c r="V34" s="48" t="e">
        <f t="shared" si="4"/>
        <v>#DIV/0!</v>
      </c>
      <c r="W34" s="44"/>
      <c r="X34" s="5"/>
      <c r="Y34" s="5"/>
      <c r="Z34" s="5"/>
      <c r="AA34" s="5"/>
      <c r="AB34" s="48" t="e">
        <f t="shared" si="5"/>
        <v>#DIV/0!</v>
      </c>
      <c r="AC34" s="44"/>
      <c r="AD34" s="5"/>
      <c r="AE34" s="5"/>
      <c r="AF34" s="5"/>
      <c r="AG34" s="5"/>
      <c r="AH34" s="48" t="e">
        <f t="shared" si="6"/>
        <v>#DIV/0!</v>
      </c>
      <c r="AI34" s="44"/>
      <c r="AJ34" s="5"/>
      <c r="AK34" s="5"/>
      <c r="AL34" s="5"/>
      <c r="AM34" s="5"/>
      <c r="AN34" s="48" t="e">
        <f t="shared" si="7"/>
        <v>#DIV/0!</v>
      </c>
      <c r="AO34" s="44"/>
      <c r="AP34" s="5"/>
      <c r="AQ34" s="5"/>
      <c r="AR34" s="5"/>
      <c r="AS34" s="5"/>
      <c r="AT34" s="48" t="e">
        <f t="shared" si="8"/>
        <v>#DIV/0!</v>
      </c>
      <c r="AU34" s="44"/>
      <c r="AV34" s="5"/>
      <c r="AW34" s="5"/>
      <c r="AX34" s="5"/>
      <c r="AY34" s="5"/>
      <c r="AZ34" s="48" t="e">
        <f t="shared" si="9"/>
        <v>#DIV/0!</v>
      </c>
      <c r="BA34" s="44"/>
      <c r="BB34" s="5"/>
      <c r="BC34" s="5"/>
      <c r="BD34" s="5"/>
      <c r="BE34" s="5"/>
      <c r="BF34" s="48" t="e">
        <f t="shared" si="10"/>
        <v>#DIV/0!</v>
      </c>
      <c r="BG34" s="68"/>
      <c r="BH34" s="44"/>
      <c r="BI34" s="5"/>
      <c r="BJ34" s="5"/>
      <c r="BK34" s="5"/>
      <c r="BL34" s="5"/>
      <c r="BM34" s="48">
        <f t="shared" si="11"/>
        <v>0</v>
      </c>
      <c r="BN34" s="44"/>
      <c r="BO34" s="5"/>
      <c r="BP34" s="5"/>
      <c r="BQ34" s="5"/>
      <c r="BR34" s="5"/>
      <c r="BS34" s="48">
        <f t="shared" si="12"/>
        <v>0</v>
      </c>
      <c r="BT34" s="5"/>
      <c r="BU34" s="5"/>
      <c r="BV34" s="5"/>
      <c r="BW34" s="5"/>
      <c r="BX34" s="5"/>
      <c r="BY34" s="48">
        <f t="shared" si="13"/>
        <v>0</v>
      </c>
      <c r="BZ34" s="5"/>
      <c r="CA34" s="5"/>
      <c r="CB34" s="5"/>
      <c r="CC34" s="5"/>
      <c r="CD34" s="5"/>
      <c r="CE34" s="48">
        <f t="shared" si="14"/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 ht="16" x14ac:dyDescent="0.2">
      <c r="C35" s="22" t="s">
        <v>75</v>
      </c>
      <c r="G35" s="30" t="e">
        <f t="shared" ref="G35" si="15">H35*0.7</f>
        <v>#DIV/0!</v>
      </c>
      <c r="H35" s="33" t="e">
        <f t="shared" ref="H35" si="16">IF(I35&gt;=100,100,I35)</f>
        <v>#DIV/0!</v>
      </c>
      <c r="I35" s="33" t="e">
        <f t="shared" ref="I35" si="17">P35*10+V35*10+AB35*15+AH35*15+AN35*15+AT35*15+AZ35*20+BF35*20+J35</f>
        <v>#DIV/0!</v>
      </c>
      <c r="J35" s="57"/>
      <c r="K35" s="45"/>
      <c r="L35" s="7"/>
      <c r="M35" s="7"/>
      <c r="N35" s="7"/>
      <c r="O35" s="7"/>
      <c r="P35" s="48" t="e">
        <f t="shared" ref="P35" si="18">AVERAGE(K35:O35)</f>
        <v>#DIV/0!</v>
      </c>
      <c r="Q35" s="45"/>
      <c r="R35" s="7"/>
      <c r="S35" s="7"/>
      <c r="T35" s="7"/>
      <c r="U35" s="7"/>
      <c r="V35" s="48" t="e">
        <f t="shared" ref="V35" si="19">AVERAGE(Q35:U35)</f>
        <v>#DIV/0!</v>
      </c>
      <c r="W35" s="45"/>
      <c r="X35" s="7"/>
      <c r="Y35" s="7"/>
      <c r="Z35" s="7"/>
      <c r="AA35" s="7"/>
      <c r="AB35" s="48" t="e">
        <f t="shared" ref="AB35" si="20">AVERAGE(W35:AA35)</f>
        <v>#DIV/0!</v>
      </c>
      <c r="AC35" s="45"/>
      <c r="AD35" s="7"/>
      <c r="AE35" s="7"/>
      <c r="AF35" s="7"/>
      <c r="AG35" s="7"/>
      <c r="AH35" s="48" t="e">
        <f t="shared" ref="AH35" si="21">AVERAGE(AC35:AG35)</f>
        <v>#DIV/0!</v>
      </c>
      <c r="AI35" s="45"/>
      <c r="AJ35" s="7"/>
      <c r="AK35" s="7"/>
      <c r="AL35" s="7"/>
      <c r="AM35" s="7"/>
      <c r="AN35" s="48" t="e">
        <f t="shared" ref="AN35" si="22">AVERAGE(AI35:AM35)</f>
        <v>#DIV/0!</v>
      </c>
      <c r="AO35" s="45"/>
      <c r="AP35" s="7"/>
      <c r="AQ35" s="7"/>
      <c r="AR35" s="7"/>
      <c r="AS35" s="7"/>
      <c r="AT35" s="48" t="e">
        <f t="shared" ref="AT35" si="23">AVERAGE(AO35:AS35)</f>
        <v>#DIV/0!</v>
      </c>
      <c r="AU35" s="45"/>
      <c r="AV35" s="7"/>
      <c r="AW35" s="7"/>
      <c r="AX35" s="7"/>
      <c r="AY35" s="7"/>
      <c r="AZ35" s="48" t="e">
        <f t="shared" ref="AZ35" si="24">AVERAGE(AU35:AY35)</f>
        <v>#DIV/0!</v>
      </c>
      <c r="BA35" s="45"/>
      <c r="BB35" s="7"/>
      <c r="BC35" s="7"/>
      <c r="BD35" s="7"/>
      <c r="BE35" s="7"/>
      <c r="BF35" s="48" t="e">
        <f t="shared" ref="BF35" si="25">AVERAGE(BA35:BE35)</f>
        <v>#DIV/0!</v>
      </c>
      <c r="BH35" s="45"/>
      <c r="BI35" s="7"/>
      <c r="BJ35" s="7"/>
      <c r="BK35" s="7"/>
      <c r="BL35" s="7"/>
    </row>
  </sheetData>
  <mergeCells count="16">
    <mergeCell ref="BH2:BM2"/>
    <mergeCell ref="BN2:BS2"/>
    <mergeCell ref="BT2:BY2"/>
    <mergeCell ref="BZ2:CE2"/>
    <mergeCell ref="BG4:BG34"/>
    <mergeCell ref="K1:M1"/>
    <mergeCell ref="BG1:BG3"/>
    <mergeCell ref="I2:I3"/>
    <mergeCell ref="K2:P2"/>
    <mergeCell ref="Q2:V2"/>
    <mergeCell ref="W2:AB2"/>
    <mergeCell ref="AC2:AH2"/>
    <mergeCell ref="AI2:AN2"/>
    <mergeCell ref="AO2:AT2"/>
    <mergeCell ref="AU2:AZ2"/>
    <mergeCell ref="BA2:BF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1:DK41"/>
  <sheetViews>
    <sheetView topLeftCell="C2" zoomScale="125" workbookViewId="0">
      <pane xSplit="12" ySplit="12" topLeftCell="BL30" activePane="bottomRight" state="frozen"/>
      <selection activeCell="C2" sqref="C2"/>
      <selection pane="topRight" activeCell="O2" sqref="O2"/>
      <selection pane="bottomLeft" activeCell="C14" sqref="C14"/>
      <selection pane="bottomRight" activeCell="C40" sqref="A40:XFD40"/>
    </sheetView>
  </sheetViews>
  <sheetFormatPr baseColWidth="10" defaultColWidth="8.83203125" defaultRowHeight="15" x14ac:dyDescent="0.2"/>
  <cols>
    <col min="1" max="1" width="11.1640625" style="4" hidden="1" customWidth="1"/>
    <col min="2" max="2" width="9" style="4" hidden="1" customWidth="1"/>
    <col min="3" max="3" width="28.6640625" style="15" customWidth="1"/>
    <col min="4" max="4" width="8.33203125" style="4" customWidth="1"/>
    <col min="5" max="6" width="6.5" style="4" customWidth="1"/>
    <col min="7" max="7" width="7.1640625" style="4" customWidth="1"/>
    <col min="8" max="9" width="8.83203125" style="4" customWidth="1"/>
    <col min="10" max="11" width="10.83203125" style="4" customWidth="1"/>
    <col min="12" max="15" width="14.33203125" style="4" customWidth="1"/>
    <col min="16" max="16" width="13" style="4" customWidth="1"/>
    <col min="17" max="17" width="14" style="4" customWidth="1"/>
    <col min="18" max="20" width="8.83203125" style="4"/>
    <col min="21" max="21" width="9.83203125" style="4" bestFit="1" customWidth="1"/>
    <col min="22" max="22" width="12.5" style="4" customWidth="1"/>
    <col min="23" max="23" width="10.83203125" style="4" bestFit="1" customWidth="1"/>
    <col min="24" max="24" width="9" style="4" bestFit="1" customWidth="1"/>
    <col min="25" max="27" width="8.83203125" style="4"/>
    <col min="28" max="28" width="12.5" style="4" customWidth="1"/>
    <col min="29" max="29" width="10.83203125" style="4" bestFit="1" customWidth="1"/>
    <col min="30" max="30" width="9" style="4" bestFit="1" customWidth="1"/>
    <col min="31" max="33" width="8.83203125" style="4"/>
    <col min="34" max="34" width="12.5" style="4" customWidth="1"/>
    <col min="35" max="35" width="10.83203125" style="4" bestFit="1" customWidth="1"/>
    <col min="36" max="36" width="9" style="4" bestFit="1" customWidth="1"/>
    <col min="37" max="39" width="8.83203125" style="4"/>
    <col min="40" max="40" width="12.5" style="4" customWidth="1"/>
    <col min="41" max="41" width="10.83203125" style="4" bestFit="1" customWidth="1"/>
    <col min="42" max="42" width="9" style="4" bestFit="1" customWidth="1"/>
    <col min="43" max="45" width="8.83203125" style="4"/>
    <col min="46" max="46" width="12.5" style="4" customWidth="1"/>
    <col min="47" max="47" width="10.83203125" style="4" bestFit="1" customWidth="1"/>
    <col min="48" max="48" width="9" style="4" bestFit="1" customWidth="1"/>
    <col min="49" max="51" width="8.83203125" style="4"/>
    <col min="52" max="52" width="12.5" style="4" customWidth="1"/>
    <col min="53" max="53" width="10.83203125" style="4" bestFit="1" customWidth="1"/>
    <col min="54" max="54" width="9" style="4" bestFit="1" customWidth="1"/>
    <col min="55" max="57" width="8.83203125" style="4"/>
    <col min="58" max="58" width="12.5" style="4" customWidth="1"/>
    <col min="59" max="59" width="10.83203125" style="4" bestFit="1" customWidth="1"/>
    <col min="60" max="60" width="9" style="4" bestFit="1" customWidth="1"/>
    <col min="61" max="63" width="8.83203125" style="4"/>
    <col min="64" max="64" width="3.33203125" style="4" bestFit="1" customWidth="1"/>
    <col min="65" max="65" width="12.5" style="4" customWidth="1"/>
    <col min="66" max="66" width="10.83203125" style="4" bestFit="1" customWidth="1"/>
    <col min="67" max="67" width="9" style="4" bestFit="1" customWidth="1"/>
    <col min="68" max="70" width="8.83203125" style="4"/>
    <col min="71" max="71" width="12.5" style="4" customWidth="1"/>
    <col min="72" max="72" width="10.83203125" style="4" bestFit="1" customWidth="1"/>
    <col min="73" max="73" width="9" style="4" bestFit="1" customWidth="1"/>
    <col min="74" max="76" width="8.83203125" style="4"/>
    <col min="77" max="77" width="12.5" style="4" customWidth="1"/>
    <col min="78" max="78" width="10.83203125" style="4" bestFit="1" customWidth="1"/>
    <col min="79" max="79" width="9" style="4" bestFit="1" customWidth="1"/>
    <col min="80" max="82" width="8.83203125" style="4"/>
    <col min="83" max="83" width="12.5" style="4" customWidth="1"/>
    <col min="84" max="84" width="10.83203125" style="4" bestFit="1" customWidth="1"/>
    <col min="85" max="85" width="10.83203125" style="4" customWidth="1"/>
    <col min="86" max="16384" width="8.83203125" style="4"/>
  </cols>
  <sheetData>
    <row r="1" spans="1:115" ht="15" hidden="1" customHeight="1" thickBot="1" x14ac:dyDescent="0.25">
      <c r="C1" s="15" t="s">
        <v>2</v>
      </c>
    </row>
    <row r="2" spans="1:115" ht="32" x14ac:dyDescent="0.2">
      <c r="J2" s="18"/>
      <c r="K2" s="18"/>
      <c r="L2" s="9"/>
      <c r="M2" s="52"/>
      <c r="N2" s="31" t="s">
        <v>865</v>
      </c>
      <c r="O2" s="36"/>
      <c r="P2" s="37" t="s">
        <v>866</v>
      </c>
      <c r="Q2" s="38"/>
      <c r="R2" s="38"/>
      <c r="S2" s="38"/>
      <c r="T2" s="38"/>
      <c r="U2" s="39"/>
      <c r="V2" s="40" t="s">
        <v>867</v>
      </c>
      <c r="W2" s="38"/>
      <c r="X2" s="38"/>
      <c r="Y2" s="38"/>
      <c r="Z2" s="38"/>
      <c r="AA2" s="41"/>
      <c r="AB2" s="37" t="s">
        <v>868</v>
      </c>
      <c r="AC2" s="38"/>
      <c r="AD2" s="38"/>
      <c r="AE2" s="38"/>
      <c r="AF2" s="38"/>
      <c r="AG2" s="38"/>
      <c r="AH2" s="40" t="s">
        <v>869</v>
      </c>
      <c r="AI2" s="38"/>
      <c r="AJ2" s="38"/>
      <c r="AK2" s="38"/>
      <c r="AL2" s="38"/>
      <c r="AM2" s="41"/>
      <c r="AN2" s="27" t="s">
        <v>872</v>
      </c>
      <c r="AO2" s="27"/>
      <c r="AP2" s="27"/>
      <c r="AQ2" s="27"/>
      <c r="AR2" s="27"/>
      <c r="AS2" s="27"/>
      <c r="AT2" s="26" t="s">
        <v>873</v>
      </c>
      <c r="AU2" s="27"/>
      <c r="AV2" s="27"/>
      <c r="AW2" s="27"/>
      <c r="AX2" s="27"/>
      <c r="AY2" s="27"/>
      <c r="AZ2" s="26" t="s">
        <v>874</v>
      </c>
      <c r="BA2" s="27"/>
      <c r="BB2" s="27"/>
      <c r="BC2" s="27"/>
      <c r="BD2" s="27"/>
      <c r="BE2" s="27"/>
      <c r="BF2" s="26" t="s">
        <v>875</v>
      </c>
      <c r="BG2" s="27"/>
      <c r="BH2" s="27"/>
      <c r="BI2" s="27"/>
      <c r="BJ2" s="27"/>
      <c r="BK2" s="27"/>
      <c r="BL2" s="49"/>
      <c r="BM2" s="26" t="s">
        <v>863</v>
      </c>
      <c r="BN2" s="27"/>
      <c r="BO2" s="27"/>
      <c r="BP2" s="27"/>
      <c r="BQ2" s="27"/>
      <c r="BR2" s="27"/>
      <c r="BS2" s="26" t="s">
        <v>863</v>
      </c>
      <c r="BT2" s="27"/>
      <c r="BU2" s="27"/>
      <c r="BV2" s="27"/>
      <c r="BW2" s="27"/>
      <c r="BX2" s="27"/>
      <c r="BY2" s="26" t="s">
        <v>863</v>
      </c>
      <c r="BZ2" s="27"/>
      <c r="CA2" s="27"/>
      <c r="CB2" s="27"/>
      <c r="CC2" s="27"/>
      <c r="CD2" s="27"/>
      <c r="CE2" s="26" t="s">
        <v>863</v>
      </c>
      <c r="CF2" s="27"/>
      <c r="CG2" s="27"/>
      <c r="CH2" s="27"/>
      <c r="CI2" s="27"/>
      <c r="CJ2" s="27"/>
    </row>
    <row r="3" spans="1:115" ht="48" x14ac:dyDescent="0.2">
      <c r="A3" s="9" t="s">
        <v>5</v>
      </c>
      <c r="B3" s="9" t="s">
        <v>6</v>
      </c>
      <c r="C3" s="12" t="s">
        <v>7</v>
      </c>
      <c r="D3" s="9" t="s">
        <v>8</v>
      </c>
      <c r="E3" s="18" t="s">
        <v>847</v>
      </c>
      <c r="F3" s="18" t="s">
        <v>848</v>
      </c>
      <c r="G3" s="9" t="s">
        <v>846</v>
      </c>
      <c r="H3" s="18" t="s">
        <v>852</v>
      </c>
      <c r="I3" s="18" t="s">
        <v>851</v>
      </c>
      <c r="J3" s="9" t="s">
        <v>880</v>
      </c>
      <c r="K3" s="9" t="s">
        <v>881</v>
      </c>
      <c r="L3" s="9" t="s">
        <v>864</v>
      </c>
      <c r="M3" s="24" t="s">
        <v>877</v>
      </c>
      <c r="N3" s="32"/>
      <c r="O3" s="56" t="s">
        <v>879</v>
      </c>
      <c r="P3" s="42" t="s">
        <v>859</v>
      </c>
      <c r="Q3" s="9" t="s">
        <v>860</v>
      </c>
      <c r="R3" s="9" t="s">
        <v>861</v>
      </c>
      <c r="S3" s="9" t="s">
        <v>870</v>
      </c>
      <c r="T3" s="18" t="s">
        <v>878</v>
      </c>
      <c r="U3" s="9" t="s">
        <v>862</v>
      </c>
      <c r="V3" s="18" t="s">
        <v>859</v>
      </c>
      <c r="W3" s="9" t="s">
        <v>860</v>
      </c>
      <c r="X3" s="9" t="s">
        <v>861</v>
      </c>
      <c r="Y3" s="9" t="s">
        <v>870</v>
      </c>
      <c r="Z3" s="18" t="s">
        <v>878</v>
      </c>
      <c r="AA3" s="43" t="s">
        <v>862</v>
      </c>
      <c r="AB3" s="42" t="s">
        <v>859</v>
      </c>
      <c r="AC3" s="9" t="s">
        <v>860</v>
      </c>
      <c r="AD3" s="9" t="s">
        <v>861</v>
      </c>
      <c r="AE3" s="9" t="s">
        <v>870</v>
      </c>
      <c r="AF3" s="18" t="s">
        <v>878</v>
      </c>
      <c r="AG3" s="9" t="s">
        <v>862</v>
      </c>
      <c r="AH3" s="18" t="s">
        <v>859</v>
      </c>
      <c r="AI3" s="9" t="s">
        <v>860</v>
      </c>
      <c r="AJ3" s="9" t="s">
        <v>861</v>
      </c>
      <c r="AK3" s="9" t="s">
        <v>870</v>
      </c>
      <c r="AL3" s="18" t="s">
        <v>878</v>
      </c>
      <c r="AM3" s="43" t="s">
        <v>862</v>
      </c>
      <c r="AN3" s="28" t="s">
        <v>859</v>
      </c>
      <c r="AO3" s="9" t="s">
        <v>860</v>
      </c>
      <c r="AP3" s="9" t="s">
        <v>861</v>
      </c>
      <c r="AQ3" s="9" t="s">
        <v>870</v>
      </c>
      <c r="AR3" s="18" t="s">
        <v>878</v>
      </c>
      <c r="AS3" s="9" t="s">
        <v>862</v>
      </c>
      <c r="AT3" s="18" t="s">
        <v>859</v>
      </c>
      <c r="AU3" s="9" t="s">
        <v>860</v>
      </c>
      <c r="AV3" s="9" t="s">
        <v>861</v>
      </c>
      <c r="AW3" s="9" t="s">
        <v>870</v>
      </c>
      <c r="AX3" s="18" t="s">
        <v>878</v>
      </c>
      <c r="AY3" s="9" t="s">
        <v>862</v>
      </c>
      <c r="AZ3" s="18" t="s">
        <v>859</v>
      </c>
      <c r="BA3" s="9" t="s">
        <v>860</v>
      </c>
      <c r="BB3" s="9" t="s">
        <v>861</v>
      </c>
      <c r="BC3" s="9" t="s">
        <v>870</v>
      </c>
      <c r="BD3" s="18" t="s">
        <v>878</v>
      </c>
      <c r="BE3" s="9" t="s">
        <v>862</v>
      </c>
      <c r="BF3" s="18" t="s">
        <v>859</v>
      </c>
      <c r="BG3" s="9" t="s">
        <v>860</v>
      </c>
      <c r="BH3" s="9" t="s">
        <v>861</v>
      </c>
      <c r="BI3" s="9" t="s">
        <v>870</v>
      </c>
      <c r="BJ3" s="18" t="s">
        <v>878</v>
      </c>
      <c r="BK3" s="9" t="s">
        <v>862</v>
      </c>
      <c r="BL3" s="50"/>
      <c r="BM3" s="18" t="s">
        <v>859</v>
      </c>
      <c r="BN3" s="9" t="s">
        <v>860</v>
      </c>
      <c r="BO3" s="9" t="s">
        <v>861</v>
      </c>
      <c r="BP3" s="9" t="s">
        <v>870</v>
      </c>
      <c r="BQ3" s="9" t="s">
        <v>871</v>
      </c>
      <c r="BR3" s="9" t="s">
        <v>862</v>
      </c>
      <c r="BS3" s="18" t="s">
        <v>859</v>
      </c>
      <c r="BT3" s="9" t="s">
        <v>860</v>
      </c>
      <c r="BU3" s="9" t="s">
        <v>861</v>
      </c>
      <c r="BV3" s="9" t="s">
        <v>870</v>
      </c>
      <c r="BW3" s="9" t="s">
        <v>871</v>
      </c>
      <c r="BX3" s="9" t="s">
        <v>862</v>
      </c>
      <c r="BY3" s="18" t="s">
        <v>859</v>
      </c>
      <c r="BZ3" s="9" t="s">
        <v>860</v>
      </c>
      <c r="CA3" s="9" t="s">
        <v>861</v>
      </c>
      <c r="CB3" s="9" t="s">
        <v>870</v>
      </c>
      <c r="CC3" s="9" t="s">
        <v>871</v>
      </c>
      <c r="CD3" s="9" t="s">
        <v>862</v>
      </c>
      <c r="CE3" s="18" t="s">
        <v>859</v>
      </c>
      <c r="CF3" s="9" t="s">
        <v>860</v>
      </c>
      <c r="CG3" s="9" t="s">
        <v>861</v>
      </c>
      <c r="CH3" s="9" t="s">
        <v>870</v>
      </c>
      <c r="CI3" s="9" t="s">
        <v>871</v>
      </c>
      <c r="CJ3" s="9" t="s">
        <v>862</v>
      </c>
    </row>
    <row r="4" spans="1:115" ht="16" x14ac:dyDescent="0.2">
      <c r="A4" s="5" t="s">
        <v>150</v>
      </c>
      <c r="B4" s="5">
        <v>1</v>
      </c>
      <c r="C4" s="13" t="s">
        <v>149</v>
      </c>
      <c r="D4" s="5" t="s">
        <v>76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9"/>
      <c r="K4" s="59"/>
      <c r="L4" s="30">
        <f t="shared" ref="L4:L11" si="0">M4*0.7+K4*0.1+J4*0.2</f>
        <v>53.55</v>
      </c>
      <c r="M4" s="33">
        <f>IF(N4&gt;=100,100,N4)</f>
        <v>76.5</v>
      </c>
      <c r="N4" s="33">
        <f>U4*10+AA4*10+AG4*15+AM4*15+AS4*15+AY4*15+BE4*20+BK4*20+O4</f>
        <v>76.5</v>
      </c>
      <c r="O4" s="57">
        <f>15*BR4</f>
        <v>3</v>
      </c>
      <c r="P4" s="44">
        <v>1</v>
      </c>
      <c r="Q4" s="5">
        <v>1</v>
      </c>
      <c r="R4" s="5">
        <v>1</v>
      </c>
      <c r="S4" s="5">
        <v>1</v>
      </c>
      <c r="T4" s="5">
        <v>1</v>
      </c>
      <c r="U4" s="48">
        <f>AVERAGE(P4:T4)</f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48">
        <f>AVERAGE(V4:Z4)</f>
        <v>1</v>
      </c>
      <c r="AB4" s="44">
        <v>1</v>
      </c>
      <c r="AC4" s="5">
        <v>1</v>
      </c>
      <c r="AD4" s="5">
        <v>1</v>
      </c>
      <c r="AE4" s="5">
        <v>1</v>
      </c>
      <c r="AF4" s="5">
        <v>1</v>
      </c>
      <c r="AG4" s="48">
        <f>AVERAGE(AB4:AF4)</f>
        <v>1</v>
      </c>
      <c r="AH4" s="5">
        <v>1</v>
      </c>
      <c r="AI4" s="5">
        <v>0.75</v>
      </c>
      <c r="AJ4" s="5">
        <v>0.75</v>
      </c>
      <c r="AK4" s="5">
        <v>0.5</v>
      </c>
      <c r="AL4" s="5">
        <v>0.5</v>
      </c>
      <c r="AM4" s="48">
        <f>AVERAGE(AH4:AL4)</f>
        <v>0.7</v>
      </c>
      <c r="AN4" s="34">
        <v>1</v>
      </c>
      <c r="AO4" s="5">
        <v>1</v>
      </c>
      <c r="AP4" s="5">
        <v>1</v>
      </c>
      <c r="AQ4" s="5">
        <v>1</v>
      </c>
      <c r="AR4" s="5">
        <v>1</v>
      </c>
      <c r="AS4" s="48">
        <f>AVERAGE(AN4:AR4)</f>
        <v>1</v>
      </c>
      <c r="AT4" s="5">
        <v>1</v>
      </c>
      <c r="AU4" s="5">
        <v>0.75</v>
      </c>
      <c r="AV4" s="5">
        <v>0.75</v>
      </c>
      <c r="AW4" s="5">
        <v>0.75</v>
      </c>
      <c r="AX4" s="5">
        <v>0.75</v>
      </c>
      <c r="AY4" s="48">
        <f>AVERAGE(AT4:AX4)</f>
        <v>0.8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48">
        <f>AVERAGE(AZ4:BD4)</f>
        <v>0</v>
      </c>
      <c r="BF4" s="5">
        <v>0.25</v>
      </c>
      <c r="BG4" s="5">
        <v>0</v>
      </c>
      <c r="BH4" s="5">
        <v>0</v>
      </c>
      <c r="BI4" s="5">
        <v>0</v>
      </c>
      <c r="BJ4" s="5">
        <v>0</v>
      </c>
      <c r="BK4" s="48">
        <f>AVERAGE(BF4:BJ4)</f>
        <v>0.05</v>
      </c>
      <c r="BL4" s="54"/>
      <c r="BM4" s="5">
        <v>0.5</v>
      </c>
      <c r="BN4" s="5">
        <v>0.5</v>
      </c>
      <c r="BO4" s="5">
        <v>0</v>
      </c>
      <c r="BP4" s="5">
        <v>0</v>
      </c>
      <c r="BQ4" s="5">
        <v>0</v>
      </c>
      <c r="BR4" s="48">
        <f>SUM(BM4:BQ4)/5</f>
        <v>0.2</v>
      </c>
      <c r="BS4" s="5"/>
      <c r="BT4" s="5"/>
      <c r="BU4" s="5"/>
      <c r="BV4" s="5"/>
      <c r="BW4" s="5"/>
      <c r="BX4" s="48">
        <f>SUM(BS4:BW4)/5</f>
        <v>0</v>
      </c>
      <c r="BY4" s="5"/>
      <c r="BZ4" s="5"/>
      <c r="CA4" s="5"/>
      <c r="CB4" s="5"/>
      <c r="CC4" s="5"/>
      <c r="CD4" s="48">
        <f>SUM(BY4:CC4)/5</f>
        <v>0</v>
      </c>
      <c r="CE4" s="5"/>
      <c r="CF4" s="5"/>
      <c r="CG4" s="5"/>
      <c r="CH4" s="5"/>
      <c r="CI4" s="5"/>
      <c r="CJ4" s="48">
        <f>SUM(CE4:CI4)/5</f>
        <v>0</v>
      </c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</row>
    <row r="5" spans="1:115" ht="16" x14ac:dyDescent="0.2">
      <c r="A5" s="7" t="s">
        <v>148</v>
      </c>
      <c r="B5" s="7">
        <v>1</v>
      </c>
      <c r="C5" s="14" t="s">
        <v>147</v>
      </c>
      <c r="D5" s="7" t="s">
        <v>76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59"/>
      <c r="K5" s="59"/>
      <c r="L5" s="30">
        <f t="shared" si="0"/>
        <v>64.959999999999994</v>
      </c>
      <c r="M5" s="33">
        <f t="shared" ref="M5:M40" si="1">IF(N5&gt;=100,100,N5)</f>
        <v>92.8</v>
      </c>
      <c r="N5" s="33">
        <f t="shared" ref="N5:N39" si="2">U5*10+AA5*10+AG5*15+AM5*15+AS5*15+AY5*15+BE5*20+BK5*20+O5</f>
        <v>92.8</v>
      </c>
      <c r="O5" s="57"/>
      <c r="P5" s="45">
        <v>1</v>
      </c>
      <c r="Q5" s="7">
        <v>1</v>
      </c>
      <c r="R5" s="7">
        <v>1</v>
      </c>
      <c r="S5" s="7">
        <v>1</v>
      </c>
      <c r="T5" s="7">
        <v>1</v>
      </c>
      <c r="U5" s="48">
        <f t="shared" ref="U5:U39" si="3">AVERAGE(P5:T5)</f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48">
        <f t="shared" ref="AA5:AA39" si="4">AVERAGE(V5:Z5)</f>
        <v>1</v>
      </c>
      <c r="AB5" s="45">
        <v>1</v>
      </c>
      <c r="AC5" s="7">
        <v>0.8</v>
      </c>
      <c r="AD5" s="7">
        <v>0.8</v>
      </c>
      <c r="AE5" s="7">
        <v>0.8</v>
      </c>
      <c r="AF5" s="7">
        <v>0.8</v>
      </c>
      <c r="AG5" s="48">
        <f t="shared" ref="AG5:AG39" si="5">AVERAGE(AB5:AF5)</f>
        <v>0.84000000000000008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48">
        <f t="shared" ref="AM5:AM39" si="6">AVERAGE(AH5:AL5)</f>
        <v>1</v>
      </c>
      <c r="AN5" s="35">
        <v>1</v>
      </c>
      <c r="AO5" s="7">
        <v>1</v>
      </c>
      <c r="AP5" s="7">
        <v>1</v>
      </c>
      <c r="AQ5" s="7">
        <v>1</v>
      </c>
      <c r="AR5" s="7">
        <v>1</v>
      </c>
      <c r="AS5" s="48">
        <f t="shared" ref="AS5:AS39" si="7">AVERAGE(AN5:AR5)</f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48">
        <f t="shared" ref="AY5:AY39" si="8">AVERAGE(AT5:AX5)</f>
        <v>1</v>
      </c>
      <c r="AZ5" s="7">
        <v>0.8</v>
      </c>
      <c r="BA5" s="7">
        <v>1</v>
      </c>
      <c r="BB5" s="7">
        <v>0.8</v>
      </c>
      <c r="BC5" s="7">
        <v>0</v>
      </c>
      <c r="BD5" s="7">
        <v>0</v>
      </c>
      <c r="BE5" s="48">
        <f t="shared" ref="BE5:BE39" si="9">AVERAGE(AZ5:BD5)</f>
        <v>0.52</v>
      </c>
      <c r="BF5" s="7">
        <v>1</v>
      </c>
      <c r="BG5" s="7">
        <v>0</v>
      </c>
      <c r="BH5" s="7">
        <v>0.2</v>
      </c>
      <c r="BI5" s="7">
        <v>0</v>
      </c>
      <c r="BJ5" s="7">
        <v>0</v>
      </c>
      <c r="BK5" s="48">
        <f t="shared" ref="BK5:BK39" si="10">AVERAGE(BF5:BJ5)</f>
        <v>0.24</v>
      </c>
      <c r="BL5" s="55"/>
      <c r="BM5" s="7"/>
      <c r="BN5" s="7"/>
      <c r="BO5" s="7"/>
      <c r="BP5" s="7"/>
      <c r="BQ5" s="7"/>
      <c r="BR5" s="48">
        <f t="shared" ref="BR5:BR39" si="11">SUM(BM5:BQ5)/5</f>
        <v>0</v>
      </c>
      <c r="BS5" s="7"/>
      <c r="BT5" s="7"/>
      <c r="BU5" s="7"/>
      <c r="BV5" s="7"/>
      <c r="BW5" s="7"/>
      <c r="BX5" s="48">
        <f t="shared" ref="BX5:BX39" si="12">SUM(BS5:BW5)/5</f>
        <v>0</v>
      </c>
      <c r="BY5" s="7"/>
      <c r="BZ5" s="7"/>
      <c r="CA5" s="7"/>
      <c r="CB5" s="7"/>
      <c r="CC5" s="7"/>
      <c r="CD5" s="48">
        <f t="shared" ref="CD5:CD39" si="13">SUM(BY5:CC5)/5</f>
        <v>0</v>
      </c>
      <c r="CE5" s="7"/>
      <c r="CF5" s="7"/>
      <c r="CG5" s="7"/>
      <c r="CH5" s="7"/>
      <c r="CI5" s="7"/>
      <c r="CJ5" s="48">
        <f t="shared" ref="CJ5:CJ39" si="14">SUM(CE5:CI5)/5</f>
        <v>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</row>
    <row r="6" spans="1:115" ht="16" x14ac:dyDescent="0.2">
      <c r="A6" s="5" t="s">
        <v>146</v>
      </c>
      <c r="B6" s="5">
        <v>1</v>
      </c>
      <c r="C6" s="13" t="s">
        <v>145</v>
      </c>
      <c r="D6" s="5" t="s">
        <v>76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9">
        <v>100</v>
      </c>
      <c r="K6" s="59">
        <v>100</v>
      </c>
      <c r="L6" s="30">
        <f t="shared" si="0"/>
        <v>100</v>
      </c>
      <c r="M6" s="33">
        <f t="shared" si="1"/>
        <v>100</v>
      </c>
      <c r="N6" s="33">
        <f t="shared" si="2"/>
        <v>120</v>
      </c>
      <c r="O6" s="57"/>
      <c r="P6" s="44">
        <v>1</v>
      </c>
      <c r="Q6" s="5">
        <v>1</v>
      </c>
      <c r="R6" s="5">
        <v>1</v>
      </c>
      <c r="S6" s="5">
        <v>1</v>
      </c>
      <c r="T6" s="5">
        <v>1</v>
      </c>
      <c r="U6" s="48">
        <f t="shared" si="3"/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48">
        <f t="shared" si="4"/>
        <v>1</v>
      </c>
      <c r="AB6" s="44">
        <v>1</v>
      </c>
      <c r="AC6" s="5">
        <v>1</v>
      </c>
      <c r="AD6" s="5">
        <v>1</v>
      </c>
      <c r="AE6" s="5">
        <v>1</v>
      </c>
      <c r="AF6" s="5">
        <v>1</v>
      </c>
      <c r="AG6" s="48">
        <f t="shared" si="5"/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48">
        <f t="shared" si="6"/>
        <v>1</v>
      </c>
      <c r="AN6" s="34">
        <v>1</v>
      </c>
      <c r="AO6" s="5">
        <v>1</v>
      </c>
      <c r="AP6" s="5">
        <v>1</v>
      </c>
      <c r="AQ6" s="5">
        <v>1</v>
      </c>
      <c r="AR6" s="5">
        <v>1</v>
      </c>
      <c r="AS6" s="48">
        <f t="shared" si="7"/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48">
        <f t="shared" si="8"/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48">
        <f t="shared" si="9"/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48">
        <f t="shared" si="10"/>
        <v>1</v>
      </c>
      <c r="BL6" s="55"/>
      <c r="BM6" s="5"/>
      <c r="BN6" s="5"/>
      <c r="BO6" s="5"/>
      <c r="BP6" s="5"/>
      <c r="BQ6" s="5"/>
      <c r="BR6" s="48">
        <f t="shared" si="11"/>
        <v>0</v>
      </c>
      <c r="BS6" s="5"/>
      <c r="BT6" s="5"/>
      <c r="BU6" s="5"/>
      <c r="BV6" s="5"/>
      <c r="BW6" s="5"/>
      <c r="BX6" s="48">
        <f t="shared" si="12"/>
        <v>0</v>
      </c>
      <c r="BY6" s="5"/>
      <c r="BZ6" s="5"/>
      <c r="CA6" s="5"/>
      <c r="CB6" s="5"/>
      <c r="CC6" s="5"/>
      <c r="CD6" s="48">
        <f t="shared" si="13"/>
        <v>0</v>
      </c>
      <c r="CE6" s="5"/>
      <c r="CF6" s="5"/>
      <c r="CG6" s="5"/>
      <c r="CH6" s="5"/>
      <c r="CI6" s="5"/>
      <c r="CJ6" s="48">
        <f t="shared" si="14"/>
        <v>0</v>
      </c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</row>
    <row r="7" spans="1:115" ht="16" x14ac:dyDescent="0.2">
      <c r="A7" s="7" t="s">
        <v>144</v>
      </c>
      <c r="B7" s="7">
        <v>1</v>
      </c>
      <c r="C7" s="14" t="s">
        <v>143</v>
      </c>
      <c r="D7" s="7" t="s">
        <v>76</v>
      </c>
      <c r="E7" s="7">
        <v>1</v>
      </c>
      <c r="F7" s="7">
        <v>1</v>
      </c>
      <c r="G7" s="7"/>
      <c r="H7" s="7">
        <v>1</v>
      </c>
      <c r="I7" s="7">
        <v>1</v>
      </c>
      <c r="J7" s="59"/>
      <c r="K7" s="59"/>
      <c r="L7" s="30">
        <f t="shared" si="0"/>
        <v>12.879999999999999</v>
      </c>
      <c r="M7" s="33">
        <f t="shared" si="1"/>
        <v>18.399999999999999</v>
      </c>
      <c r="N7" s="33">
        <f t="shared" si="2"/>
        <v>18.399999999999999</v>
      </c>
      <c r="O7" s="57"/>
      <c r="P7" s="45">
        <v>0.8</v>
      </c>
      <c r="Q7" s="7">
        <v>1</v>
      </c>
      <c r="R7" s="7">
        <v>0.8</v>
      </c>
      <c r="S7" s="7">
        <v>0.8</v>
      </c>
      <c r="T7" s="7">
        <v>0.8</v>
      </c>
      <c r="U7" s="48">
        <f t="shared" si="3"/>
        <v>0.84000000000000008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48">
        <f t="shared" si="4"/>
        <v>1</v>
      </c>
      <c r="AB7" s="45">
        <v>0</v>
      </c>
      <c r="AC7" s="7">
        <v>0</v>
      </c>
      <c r="AD7" s="7">
        <v>0</v>
      </c>
      <c r="AE7" s="7">
        <v>0</v>
      </c>
      <c r="AF7" s="7">
        <v>0</v>
      </c>
      <c r="AG7" s="48">
        <f t="shared" si="5"/>
        <v>0</v>
      </c>
      <c r="AH7" s="45">
        <v>0</v>
      </c>
      <c r="AI7" s="7">
        <v>0</v>
      </c>
      <c r="AJ7" s="7">
        <v>0</v>
      </c>
      <c r="AK7" s="7">
        <v>0</v>
      </c>
      <c r="AL7" s="7">
        <v>0</v>
      </c>
      <c r="AM7" s="48">
        <f t="shared" si="6"/>
        <v>0</v>
      </c>
      <c r="AN7" s="35">
        <v>0</v>
      </c>
      <c r="AO7" s="7">
        <v>0</v>
      </c>
      <c r="AP7" s="7">
        <v>0</v>
      </c>
      <c r="AQ7" s="7">
        <v>0</v>
      </c>
      <c r="AR7" s="7">
        <v>0</v>
      </c>
      <c r="AS7" s="48">
        <f t="shared" si="7"/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48">
        <f t="shared" si="8"/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48">
        <f t="shared" si="9"/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48">
        <f t="shared" si="10"/>
        <v>0</v>
      </c>
      <c r="BL7" s="55"/>
      <c r="BM7" s="7"/>
      <c r="BN7" s="7"/>
      <c r="BO7" s="7"/>
      <c r="BP7" s="7"/>
      <c r="BQ7" s="7"/>
      <c r="BR7" s="48">
        <f t="shared" si="11"/>
        <v>0</v>
      </c>
      <c r="BS7" s="7"/>
      <c r="BT7" s="7"/>
      <c r="BU7" s="7"/>
      <c r="BV7" s="7"/>
      <c r="BW7" s="7"/>
      <c r="BX7" s="48">
        <f t="shared" si="12"/>
        <v>0</v>
      </c>
      <c r="BY7" s="7"/>
      <c r="BZ7" s="7"/>
      <c r="CA7" s="7"/>
      <c r="CB7" s="7"/>
      <c r="CC7" s="7"/>
      <c r="CD7" s="48">
        <f t="shared" si="13"/>
        <v>0</v>
      </c>
      <c r="CE7" s="7"/>
      <c r="CF7" s="7"/>
      <c r="CG7" s="7"/>
      <c r="CH7" s="7"/>
      <c r="CI7" s="7"/>
      <c r="CJ7" s="48">
        <f t="shared" si="14"/>
        <v>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</row>
    <row r="8" spans="1:115" ht="16" x14ac:dyDescent="0.2">
      <c r="A8" s="5" t="s">
        <v>142</v>
      </c>
      <c r="B8" s="5">
        <v>1</v>
      </c>
      <c r="C8" s="13" t="s">
        <v>141</v>
      </c>
      <c r="D8" s="5" t="s">
        <v>76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9"/>
      <c r="K8" s="59"/>
      <c r="L8" s="30">
        <f t="shared" si="0"/>
        <v>36.574999999999996</v>
      </c>
      <c r="M8" s="33">
        <f t="shared" si="1"/>
        <v>52.25</v>
      </c>
      <c r="N8" s="33">
        <f t="shared" si="2"/>
        <v>52.25</v>
      </c>
      <c r="O8" s="57"/>
      <c r="P8" s="44">
        <v>1</v>
      </c>
      <c r="Q8" s="5">
        <v>1</v>
      </c>
      <c r="R8" s="5">
        <v>1</v>
      </c>
      <c r="S8" s="5">
        <v>1</v>
      </c>
      <c r="T8" s="5">
        <v>1</v>
      </c>
      <c r="U8" s="48">
        <f t="shared" si="3"/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48">
        <f t="shared" si="4"/>
        <v>1</v>
      </c>
      <c r="AB8" s="44">
        <v>1</v>
      </c>
      <c r="AC8" s="5">
        <v>0.5</v>
      </c>
      <c r="AD8" s="5">
        <v>0.75</v>
      </c>
      <c r="AE8" s="5">
        <v>0.75</v>
      </c>
      <c r="AF8" s="5">
        <v>0.75</v>
      </c>
      <c r="AG8" s="48">
        <f t="shared" si="5"/>
        <v>0.75</v>
      </c>
      <c r="AH8" s="5">
        <v>1</v>
      </c>
      <c r="AI8" s="5">
        <v>0.5</v>
      </c>
      <c r="AJ8" s="5">
        <v>0.5</v>
      </c>
      <c r="AK8" s="5">
        <v>0.5</v>
      </c>
      <c r="AL8" s="5">
        <v>0.5</v>
      </c>
      <c r="AM8" s="48">
        <f t="shared" si="6"/>
        <v>0.6</v>
      </c>
      <c r="AN8" s="34">
        <v>0</v>
      </c>
      <c r="AO8" s="5">
        <v>0</v>
      </c>
      <c r="AP8" s="5">
        <v>0</v>
      </c>
      <c r="AQ8" s="5">
        <v>0</v>
      </c>
      <c r="AR8" s="5">
        <v>0</v>
      </c>
      <c r="AS8" s="48">
        <f t="shared" si="7"/>
        <v>0</v>
      </c>
      <c r="AT8" s="5">
        <v>1</v>
      </c>
      <c r="AU8" s="5">
        <v>1</v>
      </c>
      <c r="AV8" s="5">
        <v>1</v>
      </c>
      <c r="AW8" s="5">
        <v>0</v>
      </c>
      <c r="AX8" s="5">
        <v>1</v>
      </c>
      <c r="AY8" s="48">
        <f t="shared" si="8"/>
        <v>0.8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48">
        <f t="shared" si="9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48">
        <f t="shared" si="10"/>
        <v>0</v>
      </c>
      <c r="BL8" s="55"/>
      <c r="BM8" s="5"/>
      <c r="BN8" s="5"/>
      <c r="BO8" s="5"/>
      <c r="BP8" s="5"/>
      <c r="BQ8" s="5"/>
      <c r="BR8" s="48">
        <f t="shared" si="11"/>
        <v>0</v>
      </c>
      <c r="BS8" s="5"/>
      <c r="BT8" s="5"/>
      <c r="BU8" s="5"/>
      <c r="BV8" s="5"/>
      <c r="BW8" s="5"/>
      <c r="BX8" s="48">
        <f t="shared" si="12"/>
        <v>0</v>
      </c>
      <c r="BY8" s="5"/>
      <c r="BZ8" s="5"/>
      <c r="CA8" s="5"/>
      <c r="CB8" s="5"/>
      <c r="CC8" s="5"/>
      <c r="CD8" s="48">
        <f t="shared" si="13"/>
        <v>0</v>
      </c>
      <c r="CE8" s="5"/>
      <c r="CF8" s="5"/>
      <c r="CG8" s="5"/>
      <c r="CH8" s="5"/>
      <c r="CI8" s="5"/>
      <c r="CJ8" s="48">
        <f t="shared" si="14"/>
        <v>0</v>
      </c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</row>
    <row r="9" spans="1:115" ht="16" x14ac:dyDescent="0.2">
      <c r="A9" s="7" t="s">
        <v>140</v>
      </c>
      <c r="B9" s="7">
        <v>1</v>
      </c>
      <c r="C9" s="14" t="s">
        <v>139</v>
      </c>
      <c r="D9" s="7" t="s">
        <v>76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59"/>
      <c r="K9" s="59"/>
      <c r="L9" s="30">
        <f t="shared" si="0"/>
        <v>17.324999999999999</v>
      </c>
      <c r="M9" s="33">
        <f t="shared" si="1"/>
        <v>24.75</v>
      </c>
      <c r="N9" s="33">
        <f t="shared" si="2"/>
        <v>24.75</v>
      </c>
      <c r="O9" s="57">
        <f>+P9</f>
        <v>1</v>
      </c>
      <c r="P9" s="45">
        <v>1</v>
      </c>
      <c r="Q9" s="7">
        <v>1</v>
      </c>
      <c r="R9" s="7">
        <v>1</v>
      </c>
      <c r="S9" s="7">
        <v>1</v>
      </c>
      <c r="T9" s="7">
        <v>1</v>
      </c>
      <c r="U9" s="48">
        <f t="shared" si="3"/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48">
        <f t="shared" si="4"/>
        <v>1</v>
      </c>
      <c r="AB9" s="45">
        <v>0</v>
      </c>
      <c r="AC9" s="7">
        <v>0</v>
      </c>
      <c r="AD9" s="7">
        <v>0</v>
      </c>
      <c r="AE9" s="7">
        <v>0</v>
      </c>
      <c r="AF9" s="7">
        <v>0</v>
      </c>
      <c r="AG9" s="48">
        <f t="shared" si="5"/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48">
        <f t="shared" si="6"/>
        <v>0</v>
      </c>
      <c r="AN9" s="35">
        <v>0</v>
      </c>
      <c r="AO9" s="7">
        <v>0</v>
      </c>
      <c r="AP9" s="7">
        <v>0</v>
      </c>
      <c r="AQ9" s="7">
        <v>0</v>
      </c>
      <c r="AR9" s="7">
        <v>0</v>
      </c>
      <c r="AS9" s="48">
        <f t="shared" si="7"/>
        <v>0</v>
      </c>
      <c r="AT9" s="7">
        <v>0.75</v>
      </c>
      <c r="AU9" s="7">
        <v>0.5</v>
      </c>
      <c r="AV9" s="7">
        <v>0</v>
      </c>
      <c r="AW9" s="7">
        <v>0</v>
      </c>
      <c r="AX9" s="7">
        <v>0</v>
      </c>
      <c r="AY9" s="48">
        <f t="shared" si="8"/>
        <v>0.25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48">
        <f t="shared" si="9"/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48">
        <f t="shared" si="10"/>
        <v>0</v>
      </c>
      <c r="BL9" s="55"/>
      <c r="BM9" s="7"/>
      <c r="BN9" s="7"/>
      <c r="BO9" s="7"/>
      <c r="BP9" s="7"/>
      <c r="BQ9" s="7"/>
      <c r="BR9" s="48">
        <f t="shared" si="11"/>
        <v>0</v>
      </c>
      <c r="BS9" s="7"/>
      <c r="BT9" s="7"/>
      <c r="BU9" s="7"/>
      <c r="BV9" s="7"/>
      <c r="BW9" s="7"/>
      <c r="BX9" s="48">
        <f t="shared" si="12"/>
        <v>0</v>
      </c>
      <c r="BY9" s="7"/>
      <c r="BZ9" s="7"/>
      <c r="CA9" s="7"/>
      <c r="CB9" s="7"/>
      <c r="CC9" s="7"/>
      <c r="CD9" s="48">
        <f t="shared" si="13"/>
        <v>0</v>
      </c>
      <c r="CE9" s="7"/>
      <c r="CF9" s="7"/>
      <c r="CG9" s="7"/>
      <c r="CH9" s="7"/>
      <c r="CI9" s="7"/>
      <c r="CJ9" s="48">
        <f t="shared" si="14"/>
        <v>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</row>
    <row r="10" spans="1:115" ht="16" x14ac:dyDescent="0.2">
      <c r="A10" s="5" t="s">
        <v>138</v>
      </c>
      <c r="B10" s="5">
        <v>1</v>
      </c>
      <c r="C10" s="13" t="s">
        <v>137</v>
      </c>
      <c r="D10" s="5" t="s">
        <v>76</v>
      </c>
      <c r="E10" s="5">
        <v>1</v>
      </c>
      <c r="F10" s="5">
        <v>1</v>
      </c>
      <c r="G10" s="5">
        <v>1</v>
      </c>
      <c r="H10" s="5"/>
      <c r="I10" s="5">
        <v>1</v>
      </c>
      <c r="J10" s="59"/>
      <c r="K10" s="59"/>
      <c r="L10" s="30">
        <f t="shared" si="0"/>
        <v>29.224999999999998</v>
      </c>
      <c r="M10" s="33">
        <f t="shared" si="1"/>
        <v>41.75</v>
      </c>
      <c r="N10" s="33">
        <f t="shared" si="2"/>
        <v>41.75</v>
      </c>
      <c r="O10" s="57"/>
      <c r="P10" s="44">
        <v>1</v>
      </c>
      <c r="Q10" s="5">
        <v>1</v>
      </c>
      <c r="R10" s="5">
        <v>1</v>
      </c>
      <c r="S10" s="5">
        <v>1</v>
      </c>
      <c r="T10" s="5">
        <v>1</v>
      </c>
      <c r="U10" s="48">
        <f t="shared" si="3"/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48">
        <f t="shared" si="4"/>
        <v>1</v>
      </c>
      <c r="AB10" s="44">
        <v>0.5</v>
      </c>
      <c r="AC10" s="5">
        <v>0.25</v>
      </c>
      <c r="AD10" s="5">
        <v>0</v>
      </c>
      <c r="AE10" s="5">
        <v>0</v>
      </c>
      <c r="AF10" s="5">
        <v>0</v>
      </c>
      <c r="AG10" s="48">
        <f t="shared" si="5"/>
        <v>0.15</v>
      </c>
      <c r="AH10" s="5">
        <v>0.75</v>
      </c>
      <c r="AI10" s="5">
        <v>0.75</v>
      </c>
      <c r="AJ10" s="5">
        <v>0</v>
      </c>
      <c r="AK10" s="5">
        <v>0</v>
      </c>
      <c r="AL10" s="5">
        <v>0</v>
      </c>
      <c r="AM10" s="48">
        <f t="shared" si="6"/>
        <v>0.3</v>
      </c>
      <c r="AN10" s="34">
        <v>1</v>
      </c>
      <c r="AO10" s="5">
        <v>1</v>
      </c>
      <c r="AP10" s="5">
        <v>1</v>
      </c>
      <c r="AQ10" s="5">
        <v>1</v>
      </c>
      <c r="AR10" s="5">
        <v>1</v>
      </c>
      <c r="AS10" s="48">
        <f t="shared" si="7"/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48">
        <f t="shared" si="8"/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48">
        <f t="shared" si="9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48">
        <f t="shared" si="10"/>
        <v>0</v>
      </c>
      <c r="BL10" s="55"/>
      <c r="BM10" s="5"/>
      <c r="BN10" s="5"/>
      <c r="BO10" s="5"/>
      <c r="BP10" s="5"/>
      <c r="BQ10" s="5"/>
      <c r="BR10" s="48">
        <f t="shared" si="11"/>
        <v>0</v>
      </c>
      <c r="BS10" s="5"/>
      <c r="BT10" s="5"/>
      <c r="BU10" s="5"/>
      <c r="BV10" s="5"/>
      <c r="BW10" s="5"/>
      <c r="BX10" s="48">
        <f t="shared" si="12"/>
        <v>0</v>
      </c>
      <c r="BY10" s="5"/>
      <c r="BZ10" s="5"/>
      <c r="CA10" s="5"/>
      <c r="CB10" s="5"/>
      <c r="CC10" s="5"/>
      <c r="CD10" s="48">
        <f t="shared" si="13"/>
        <v>0</v>
      </c>
      <c r="CE10" s="5"/>
      <c r="CF10" s="5"/>
      <c r="CG10" s="5"/>
      <c r="CH10" s="5"/>
      <c r="CI10" s="5"/>
      <c r="CJ10" s="48">
        <f t="shared" si="14"/>
        <v>0</v>
      </c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</row>
    <row r="11" spans="1:115" ht="16" x14ac:dyDescent="0.2">
      <c r="A11" s="7" t="s">
        <v>136</v>
      </c>
      <c r="B11" s="7">
        <v>1</v>
      </c>
      <c r="C11" s="14" t="s">
        <v>135</v>
      </c>
      <c r="D11" s="7" t="s">
        <v>76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59"/>
      <c r="K11" s="59"/>
      <c r="L11" s="30">
        <f t="shared" si="0"/>
        <v>70</v>
      </c>
      <c r="M11" s="33">
        <f t="shared" si="1"/>
        <v>100</v>
      </c>
      <c r="N11" s="33">
        <f t="shared" si="2"/>
        <v>111.4</v>
      </c>
      <c r="O11" s="57">
        <v>15</v>
      </c>
      <c r="P11" s="45">
        <v>1</v>
      </c>
      <c r="Q11" s="7">
        <v>1</v>
      </c>
      <c r="R11" s="7">
        <v>1</v>
      </c>
      <c r="S11" s="7">
        <v>1</v>
      </c>
      <c r="T11" s="7">
        <v>1</v>
      </c>
      <c r="U11" s="48">
        <f t="shared" si="3"/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48">
        <f t="shared" si="4"/>
        <v>1</v>
      </c>
      <c r="AB11" s="45">
        <v>1</v>
      </c>
      <c r="AC11" s="7">
        <v>1</v>
      </c>
      <c r="AD11" s="7">
        <v>1</v>
      </c>
      <c r="AE11" s="7">
        <v>1</v>
      </c>
      <c r="AF11" s="7">
        <v>1</v>
      </c>
      <c r="AG11" s="48">
        <f t="shared" si="5"/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48">
        <f t="shared" si="6"/>
        <v>1</v>
      </c>
      <c r="AN11" s="35">
        <v>1</v>
      </c>
      <c r="AO11" s="7">
        <v>1</v>
      </c>
      <c r="AP11" s="7">
        <v>1</v>
      </c>
      <c r="AQ11" s="7">
        <v>1</v>
      </c>
      <c r="AR11" s="7">
        <v>1</v>
      </c>
      <c r="AS11" s="48">
        <f t="shared" si="7"/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48">
        <f t="shared" si="8"/>
        <v>1</v>
      </c>
      <c r="AZ11" s="7">
        <v>0.8</v>
      </c>
      <c r="BA11" s="7">
        <v>0.8</v>
      </c>
      <c r="BB11" s="7">
        <v>0.5</v>
      </c>
      <c r="BC11" s="7">
        <v>0</v>
      </c>
      <c r="BD11" s="7">
        <v>0</v>
      </c>
      <c r="BE11" s="48">
        <f t="shared" si="9"/>
        <v>0.42000000000000004</v>
      </c>
      <c r="BF11" s="7">
        <v>0.75</v>
      </c>
      <c r="BG11" s="7">
        <v>0.75</v>
      </c>
      <c r="BH11" s="7">
        <v>0.5</v>
      </c>
      <c r="BI11" s="7">
        <v>0</v>
      </c>
      <c r="BJ11" s="7">
        <v>0</v>
      </c>
      <c r="BK11" s="48">
        <f t="shared" si="10"/>
        <v>0.4</v>
      </c>
      <c r="BL11" s="55"/>
      <c r="BM11" s="7"/>
      <c r="BN11" s="7"/>
      <c r="BO11" s="7"/>
      <c r="BP11" s="7"/>
      <c r="BQ11" s="7"/>
      <c r="BR11" s="48">
        <f t="shared" si="11"/>
        <v>0</v>
      </c>
      <c r="BS11" s="7"/>
      <c r="BT11" s="7"/>
      <c r="BU11" s="7"/>
      <c r="BV11" s="7"/>
      <c r="BW11" s="7"/>
      <c r="BX11" s="48">
        <f t="shared" si="12"/>
        <v>0</v>
      </c>
      <c r="BY11" s="7"/>
      <c r="BZ11" s="7"/>
      <c r="CA11" s="7"/>
      <c r="CB11" s="7"/>
      <c r="CC11" s="7"/>
      <c r="CD11" s="48">
        <f t="shared" si="13"/>
        <v>0</v>
      </c>
      <c r="CE11" s="7"/>
      <c r="CF11" s="7"/>
      <c r="CG11" s="7"/>
      <c r="CH11" s="7"/>
      <c r="CI11" s="7"/>
      <c r="CJ11" s="48">
        <f t="shared" si="14"/>
        <v>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</row>
    <row r="12" spans="1:115" ht="16" x14ac:dyDescent="0.2">
      <c r="A12" s="5" t="s">
        <v>134</v>
      </c>
      <c r="B12" s="5">
        <v>1</v>
      </c>
      <c r="C12" s="13" t="s">
        <v>133</v>
      </c>
      <c r="D12" s="5" t="s">
        <v>76</v>
      </c>
      <c r="E12" s="5"/>
      <c r="F12" s="5"/>
      <c r="G12" s="5">
        <v>1</v>
      </c>
      <c r="H12" s="5"/>
      <c r="I12" s="5"/>
      <c r="J12" s="59">
        <v>0</v>
      </c>
      <c r="K12" s="59">
        <v>0</v>
      </c>
      <c r="L12" s="30">
        <f>M12*0.7+K12*0.1+J12*0.2</f>
        <v>0</v>
      </c>
      <c r="M12" s="33">
        <f>IF(N12&gt;=100,100,N12)</f>
        <v>0</v>
      </c>
      <c r="N12" s="33">
        <f>U12*10+AA12*10+AG12*15+AM12*15+AS12*15+AY12*15+BE12*20+BK12*20+O12</f>
        <v>0</v>
      </c>
      <c r="O12" s="57">
        <v>0</v>
      </c>
      <c r="P12" s="44">
        <v>0</v>
      </c>
      <c r="Q12" s="5">
        <v>0</v>
      </c>
      <c r="R12" s="5">
        <v>0</v>
      </c>
      <c r="S12" s="5">
        <v>0</v>
      </c>
      <c r="T12" s="5">
        <v>0</v>
      </c>
      <c r="U12" s="48">
        <f t="shared" si="3"/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48">
        <f t="shared" si="4"/>
        <v>0</v>
      </c>
      <c r="AB12" s="44">
        <v>0</v>
      </c>
      <c r="AC12" s="5">
        <v>0</v>
      </c>
      <c r="AD12" s="5">
        <v>0</v>
      </c>
      <c r="AE12" s="5">
        <v>0</v>
      </c>
      <c r="AF12" s="5">
        <v>0</v>
      </c>
      <c r="AG12" s="48">
        <f t="shared" si="5"/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48">
        <f t="shared" si="6"/>
        <v>0</v>
      </c>
      <c r="AN12" s="34">
        <v>0</v>
      </c>
      <c r="AO12" s="5">
        <v>0</v>
      </c>
      <c r="AP12" s="5">
        <v>0</v>
      </c>
      <c r="AQ12" s="5">
        <v>0</v>
      </c>
      <c r="AR12" s="5">
        <v>0</v>
      </c>
      <c r="AS12" s="48">
        <f t="shared" si="7"/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48">
        <f t="shared" si="8"/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48">
        <f t="shared" si="9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48">
        <f t="shared" si="10"/>
        <v>0</v>
      </c>
      <c r="BL12" s="55"/>
      <c r="BM12" s="5"/>
      <c r="BN12" s="5"/>
      <c r="BO12" s="5"/>
      <c r="BP12" s="5"/>
      <c r="BQ12" s="5"/>
      <c r="BR12" s="48">
        <f t="shared" si="11"/>
        <v>0</v>
      </c>
      <c r="BS12" s="5"/>
      <c r="BT12" s="5"/>
      <c r="BU12" s="5"/>
      <c r="BV12" s="5"/>
      <c r="BW12" s="5"/>
      <c r="BX12" s="48">
        <f t="shared" si="12"/>
        <v>0</v>
      </c>
      <c r="BY12" s="5"/>
      <c r="BZ12" s="5"/>
      <c r="CA12" s="5"/>
      <c r="CB12" s="5"/>
      <c r="CC12" s="5"/>
      <c r="CD12" s="48">
        <f t="shared" si="13"/>
        <v>0</v>
      </c>
      <c r="CE12" s="5"/>
      <c r="CF12" s="5"/>
      <c r="CG12" s="5"/>
      <c r="CH12" s="5"/>
      <c r="CI12" s="5"/>
      <c r="CJ12" s="48">
        <f t="shared" si="14"/>
        <v>0</v>
      </c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</row>
    <row r="13" spans="1:115" ht="16" x14ac:dyDescent="0.2">
      <c r="A13" s="7" t="s">
        <v>132</v>
      </c>
      <c r="B13" s="7">
        <v>1</v>
      </c>
      <c r="C13" s="14" t="s">
        <v>131</v>
      </c>
      <c r="D13" s="7" t="s">
        <v>76</v>
      </c>
      <c r="E13" s="7">
        <v>1</v>
      </c>
      <c r="F13" s="7">
        <v>1</v>
      </c>
      <c r="G13" s="7"/>
      <c r="H13" s="7"/>
      <c r="I13" s="7">
        <v>1</v>
      </c>
      <c r="J13" s="59"/>
      <c r="K13" s="59"/>
      <c r="L13" s="30">
        <f t="shared" ref="L13:L39" si="15">M13*0.7+K13*0.1+J13*0.2</f>
        <v>0.7</v>
      </c>
      <c r="M13" s="33">
        <f t="shared" si="1"/>
        <v>1</v>
      </c>
      <c r="N13" s="33">
        <f t="shared" si="2"/>
        <v>1</v>
      </c>
      <c r="O13" s="57"/>
      <c r="P13" s="45">
        <v>0</v>
      </c>
      <c r="Q13" s="7">
        <v>0</v>
      </c>
      <c r="R13" s="7">
        <v>0</v>
      </c>
      <c r="S13" s="7">
        <v>0</v>
      </c>
      <c r="T13" s="7">
        <v>0</v>
      </c>
      <c r="U13" s="48">
        <f t="shared" si="3"/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48">
        <f t="shared" si="4"/>
        <v>0</v>
      </c>
      <c r="AB13" s="45">
        <v>0</v>
      </c>
      <c r="AC13" s="7">
        <v>0</v>
      </c>
      <c r="AD13" s="7">
        <v>0</v>
      </c>
      <c r="AE13" s="7">
        <v>0</v>
      </c>
      <c r="AF13" s="7">
        <v>0</v>
      </c>
      <c r="AG13" s="48">
        <f t="shared" si="5"/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48">
        <f t="shared" si="6"/>
        <v>0</v>
      </c>
      <c r="AN13" s="35">
        <v>0</v>
      </c>
      <c r="AO13" s="7">
        <v>0</v>
      </c>
      <c r="AP13" s="7">
        <v>0</v>
      </c>
      <c r="AQ13" s="7">
        <v>0</v>
      </c>
      <c r="AR13" s="7">
        <v>0</v>
      </c>
      <c r="AS13" s="48">
        <f t="shared" si="7"/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48">
        <f t="shared" si="8"/>
        <v>0</v>
      </c>
      <c r="AZ13" s="7">
        <v>0.25</v>
      </c>
      <c r="BA13" s="7">
        <v>0</v>
      </c>
      <c r="BB13" s="7">
        <v>0</v>
      </c>
      <c r="BC13" s="7">
        <v>0</v>
      </c>
      <c r="BD13" s="7">
        <v>0</v>
      </c>
      <c r="BE13" s="48">
        <f t="shared" si="9"/>
        <v>0.05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48">
        <f t="shared" si="10"/>
        <v>0</v>
      </c>
      <c r="BL13" s="55"/>
      <c r="BM13" s="7"/>
      <c r="BN13" s="7"/>
      <c r="BO13" s="7"/>
      <c r="BP13" s="7"/>
      <c r="BQ13" s="7"/>
      <c r="BR13" s="48">
        <f t="shared" si="11"/>
        <v>0</v>
      </c>
      <c r="BS13" s="7"/>
      <c r="BT13" s="7"/>
      <c r="BU13" s="7"/>
      <c r="BV13" s="7"/>
      <c r="BW13" s="7"/>
      <c r="BX13" s="48">
        <f t="shared" si="12"/>
        <v>0</v>
      </c>
      <c r="BY13" s="7"/>
      <c r="BZ13" s="7"/>
      <c r="CA13" s="7"/>
      <c r="CB13" s="7"/>
      <c r="CC13" s="7"/>
      <c r="CD13" s="48">
        <f t="shared" si="13"/>
        <v>0</v>
      </c>
      <c r="CE13" s="7"/>
      <c r="CF13" s="7"/>
      <c r="CG13" s="7"/>
      <c r="CH13" s="7"/>
      <c r="CI13" s="7"/>
      <c r="CJ13" s="48">
        <f t="shared" si="14"/>
        <v>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</row>
    <row r="14" spans="1:115" ht="16" x14ac:dyDescent="0.2">
      <c r="A14" s="5" t="s">
        <v>130</v>
      </c>
      <c r="B14" s="5">
        <v>1</v>
      </c>
      <c r="C14" s="13" t="s">
        <v>129</v>
      </c>
      <c r="D14" s="5" t="s">
        <v>76</v>
      </c>
      <c r="E14" s="5">
        <v>1</v>
      </c>
      <c r="F14" s="5"/>
      <c r="G14" s="5">
        <v>1</v>
      </c>
      <c r="H14" s="5">
        <v>1</v>
      </c>
      <c r="I14" s="5">
        <v>1</v>
      </c>
      <c r="J14" s="59"/>
      <c r="K14" s="59"/>
      <c r="L14" s="30">
        <f t="shared" si="15"/>
        <v>68.424999999999997</v>
      </c>
      <c r="M14" s="33">
        <f t="shared" si="1"/>
        <v>97.75</v>
      </c>
      <c r="N14" s="33">
        <f t="shared" si="2"/>
        <v>97.75</v>
      </c>
      <c r="O14" s="57">
        <f>15*BR14+15*BX14</f>
        <v>15.75</v>
      </c>
      <c r="P14" s="44">
        <v>1</v>
      </c>
      <c r="Q14" s="5">
        <v>1</v>
      </c>
      <c r="R14" s="5">
        <v>1</v>
      </c>
      <c r="S14" s="5">
        <v>1</v>
      </c>
      <c r="T14" s="5">
        <v>1</v>
      </c>
      <c r="U14" s="48">
        <f t="shared" si="3"/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48">
        <f t="shared" si="4"/>
        <v>1</v>
      </c>
      <c r="AB14" s="44">
        <v>1</v>
      </c>
      <c r="AC14" s="5">
        <v>1</v>
      </c>
      <c r="AD14" s="5">
        <v>1</v>
      </c>
      <c r="AE14" s="5">
        <v>1</v>
      </c>
      <c r="AF14" s="5">
        <v>1</v>
      </c>
      <c r="AG14" s="48">
        <f t="shared" si="5"/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48">
        <f t="shared" si="6"/>
        <v>1</v>
      </c>
      <c r="AN14" s="34">
        <v>1</v>
      </c>
      <c r="AO14" s="5">
        <v>1</v>
      </c>
      <c r="AP14" s="5">
        <v>1</v>
      </c>
      <c r="AQ14" s="5">
        <v>1</v>
      </c>
      <c r="AR14" s="5">
        <v>1</v>
      </c>
      <c r="AS14" s="48">
        <f t="shared" si="7"/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48">
        <f t="shared" si="8"/>
        <v>1</v>
      </c>
      <c r="AZ14" s="5">
        <v>0.25</v>
      </c>
      <c r="BA14" s="5">
        <v>0</v>
      </c>
      <c r="BB14" s="5">
        <v>0</v>
      </c>
      <c r="BC14" s="5">
        <v>0</v>
      </c>
      <c r="BD14" s="5">
        <v>0</v>
      </c>
      <c r="BE14" s="48">
        <f t="shared" si="9"/>
        <v>0.05</v>
      </c>
      <c r="BF14" s="5">
        <v>0.25</v>
      </c>
      <c r="BG14" s="5">
        <v>0</v>
      </c>
      <c r="BH14" s="5">
        <v>0</v>
      </c>
      <c r="BI14" s="5">
        <v>0</v>
      </c>
      <c r="BJ14" s="5">
        <v>0</v>
      </c>
      <c r="BK14" s="48">
        <f t="shared" si="10"/>
        <v>0.05</v>
      </c>
      <c r="BL14" s="55"/>
      <c r="BM14" s="5">
        <v>0.25</v>
      </c>
      <c r="BN14" s="5">
        <v>0</v>
      </c>
      <c r="BO14" s="5">
        <v>0</v>
      </c>
      <c r="BP14" s="5">
        <v>0</v>
      </c>
      <c r="BQ14" s="5">
        <v>0</v>
      </c>
      <c r="BR14" s="48">
        <f t="shared" si="11"/>
        <v>0.05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48">
        <f t="shared" si="12"/>
        <v>1</v>
      </c>
      <c r="BY14" s="5"/>
      <c r="BZ14" s="5"/>
      <c r="CA14" s="5"/>
      <c r="CB14" s="5"/>
      <c r="CC14" s="5"/>
      <c r="CD14" s="48">
        <f t="shared" si="13"/>
        <v>0</v>
      </c>
      <c r="CE14" s="5"/>
      <c r="CF14" s="5"/>
      <c r="CG14" s="5"/>
      <c r="CH14" s="5"/>
      <c r="CI14" s="5"/>
      <c r="CJ14" s="48">
        <f t="shared" si="14"/>
        <v>0</v>
      </c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</row>
    <row r="15" spans="1:115" ht="16" x14ac:dyDescent="0.2">
      <c r="A15" s="7" t="s">
        <v>128</v>
      </c>
      <c r="B15" s="7">
        <v>1</v>
      </c>
      <c r="C15" s="14" t="s">
        <v>127</v>
      </c>
      <c r="D15" s="7" t="s">
        <v>76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59"/>
      <c r="K15" s="59"/>
      <c r="L15" s="30">
        <f t="shared" si="15"/>
        <v>8.3999999999999986</v>
      </c>
      <c r="M15" s="33">
        <f t="shared" si="1"/>
        <v>12</v>
      </c>
      <c r="N15" s="33">
        <f t="shared" si="2"/>
        <v>12</v>
      </c>
      <c r="O15" s="57"/>
      <c r="P15" s="45">
        <v>0.75</v>
      </c>
      <c r="Q15" s="7">
        <v>0.75</v>
      </c>
      <c r="R15" s="7">
        <v>0.5</v>
      </c>
      <c r="S15" s="7">
        <v>0.75</v>
      </c>
      <c r="T15" s="7">
        <v>0</v>
      </c>
      <c r="U15" s="48">
        <f t="shared" si="3"/>
        <v>0.55000000000000004</v>
      </c>
      <c r="V15" s="7">
        <v>0.5</v>
      </c>
      <c r="W15" s="7">
        <v>0.5</v>
      </c>
      <c r="X15" s="7">
        <v>0</v>
      </c>
      <c r="Y15" s="7">
        <v>0</v>
      </c>
      <c r="Z15" s="7">
        <v>0</v>
      </c>
      <c r="AA15" s="48">
        <f t="shared" si="4"/>
        <v>0.2</v>
      </c>
      <c r="AB15" s="45">
        <v>0.75</v>
      </c>
      <c r="AC15" s="7">
        <v>0.75</v>
      </c>
      <c r="AD15" s="7">
        <v>0</v>
      </c>
      <c r="AE15" s="7">
        <v>0</v>
      </c>
      <c r="AF15" s="7">
        <v>0</v>
      </c>
      <c r="AG15" s="48">
        <f t="shared" si="5"/>
        <v>0.3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48">
        <f t="shared" si="6"/>
        <v>0</v>
      </c>
      <c r="AN15" s="35">
        <v>0</v>
      </c>
      <c r="AO15" s="7">
        <v>0</v>
      </c>
      <c r="AP15" s="7">
        <v>0</v>
      </c>
      <c r="AQ15" s="7">
        <v>0</v>
      </c>
      <c r="AR15" s="7">
        <v>0</v>
      </c>
      <c r="AS15" s="48">
        <f t="shared" si="7"/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48">
        <f t="shared" si="8"/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48">
        <f t="shared" si="9"/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48">
        <f t="shared" si="10"/>
        <v>0</v>
      </c>
      <c r="BL15" s="55"/>
      <c r="BM15" s="7"/>
      <c r="BN15" s="7"/>
      <c r="BO15" s="7"/>
      <c r="BP15" s="7"/>
      <c r="BQ15" s="7"/>
      <c r="BR15" s="48">
        <f t="shared" si="11"/>
        <v>0</v>
      </c>
      <c r="BS15" s="7"/>
      <c r="BT15" s="7"/>
      <c r="BU15" s="7"/>
      <c r="BV15" s="7"/>
      <c r="BW15" s="7"/>
      <c r="BX15" s="48">
        <f t="shared" si="12"/>
        <v>0</v>
      </c>
      <c r="BY15" s="7"/>
      <c r="BZ15" s="7"/>
      <c r="CA15" s="7"/>
      <c r="CB15" s="7"/>
      <c r="CC15" s="7"/>
      <c r="CD15" s="48">
        <f t="shared" si="13"/>
        <v>0</v>
      </c>
      <c r="CE15" s="7"/>
      <c r="CF15" s="7"/>
      <c r="CG15" s="7"/>
      <c r="CH15" s="7"/>
      <c r="CI15" s="7"/>
      <c r="CJ15" s="48">
        <f t="shared" si="14"/>
        <v>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</row>
    <row r="16" spans="1:115" ht="16" x14ac:dyDescent="0.2">
      <c r="A16" s="5" t="s">
        <v>126</v>
      </c>
      <c r="B16" s="5">
        <v>1</v>
      </c>
      <c r="C16" s="53" t="s">
        <v>125</v>
      </c>
      <c r="D16" s="5" t="s">
        <v>76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9"/>
      <c r="K16" s="59"/>
      <c r="L16" s="30">
        <f t="shared" si="15"/>
        <v>56</v>
      </c>
      <c r="M16" s="33">
        <f t="shared" si="1"/>
        <v>80</v>
      </c>
      <c r="N16" s="33">
        <f t="shared" si="2"/>
        <v>80</v>
      </c>
      <c r="O16" s="57"/>
      <c r="P16" s="44">
        <v>1</v>
      </c>
      <c r="Q16" s="5">
        <v>1</v>
      </c>
      <c r="R16" s="5">
        <v>1</v>
      </c>
      <c r="S16" s="5">
        <v>1</v>
      </c>
      <c r="T16" s="5">
        <v>1</v>
      </c>
      <c r="U16" s="48">
        <f t="shared" si="3"/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48">
        <f t="shared" si="4"/>
        <v>1</v>
      </c>
      <c r="AB16" s="44">
        <v>1</v>
      </c>
      <c r="AC16" s="5">
        <v>1</v>
      </c>
      <c r="AD16" s="5">
        <v>1</v>
      </c>
      <c r="AE16" s="5">
        <v>1</v>
      </c>
      <c r="AF16" s="5">
        <v>1</v>
      </c>
      <c r="AG16" s="48">
        <f t="shared" si="5"/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48">
        <f t="shared" si="6"/>
        <v>1</v>
      </c>
      <c r="AN16" s="34">
        <v>1</v>
      </c>
      <c r="AO16" s="5">
        <v>1</v>
      </c>
      <c r="AP16" s="5">
        <v>1</v>
      </c>
      <c r="AQ16" s="5">
        <v>1</v>
      </c>
      <c r="AR16" s="5">
        <v>1</v>
      </c>
      <c r="AS16" s="48">
        <f t="shared" si="7"/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48">
        <f t="shared" si="8"/>
        <v>1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48">
        <f t="shared" si="9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48">
        <f t="shared" si="10"/>
        <v>0</v>
      </c>
      <c r="BL16" s="55"/>
      <c r="BM16" s="5"/>
      <c r="BN16" s="5"/>
      <c r="BO16" s="5"/>
      <c r="BP16" s="5"/>
      <c r="BQ16" s="5"/>
      <c r="BR16" s="48">
        <f t="shared" si="11"/>
        <v>0</v>
      </c>
      <c r="BS16" s="5"/>
      <c r="BT16" s="5"/>
      <c r="BU16" s="5"/>
      <c r="BV16" s="5"/>
      <c r="BW16" s="5"/>
      <c r="BX16" s="48">
        <f t="shared" si="12"/>
        <v>0</v>
      </c>
      <c r="BY16" s="5"/>
      <c r="BZ16" s="5"/>
      <c r="CA16" s="5"/>
      <c r="CB16" s="5"/>
      <c r="CC16" s="5"/>
      <c r="CD16" s="48">
        <f t="shared" si="13"/>
        <v>0</v>
      </c>
      <c r="CE16" s="5"/>
      <c r="CF16" s="5"/>
      <c r="CG16" s="5"/>
      <c r="CH16" s="5"/>
      <c r="CI16" s="5"/>
      <c r="CJ16" s="48">
        <f t="shared" si="14"/>
        <v>0</v>
      </c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</row>
    <row r="17" spans="1:115" ht="16" x14ac:dyDescent="0.2">
      <c r="A17" s="7" t="s">
        <v>124</v>
      </c>
      <c r="B17" s="7">
        <v>1</v>
      </c>
      <c r="C17" s="14" t="s">
        <v>123</v>
      </c>
      <c r="D17" s="7" t="s">
        <v>76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59"/>
      <c r="K17" s="59"/>
      <c r="L17" s="30">
        <f t="shared" si="15"/>
        <v>68.424999999999997</v>
      </c>
      <c r="M17" s="33">
        <f t="shared" si="1"/>
        <v>97.75</v>
      </c>
      <c r="N17" s="33">
        <f t="shared" si="2"/>
        <v>97.75</v>
      </c>
      <c r="O17" s="57">
        <v>9.75</v>
      </c>
      <c r="P17" s="45">
        <v>1</v>
      </c>
      <c r="Q17" s="7">
        <v>1</v>
      </c>
      <c r="R17" s="7">
        <v>1</v>
      </c>
      <c r="S17" s="7">
        <v>1</v>
      </c>
      <c r="T17" s="7">
        <v>1</v>
      </c>
      <c r="U17" s="48">
        <f t="shared" si="3"/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48">
        <f t="shared" si="4"/>
        <v>1</v>
      </c>
      <c r="AB17" s="45">
        <v>1</v>
      </c>
      <c r="AC17" s="7">
        <v>1</v>
      </c>
      <c r="AD17" s="7">
        <v>1</v>
      </c>
      <c r="AE17" s="7">
        <v>1</v>
      </c>
      <c r="AF17" s="7">
        <v>1</v>
      </c>
      <c r="AG17" s="48">
        <f t="shared" si="5"/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48">
        <f t="shared" si="6"/>
        <v>1</v>
      </c>
      <c r="AN17" s="35">
        <v>1</v>
      </c>
      <c r="AO17" s="7">
        <v>1</v>
      </c>
      <c r="AP17" s="7">
        <v>1</v>
      </c>
      <c r="AQ17" s="7">
        <v>1</v>
      </c>
      <c r="AR17" s="7">
        <v>1</v>
      </c>
      <c r="AS17" s="48">
        <f t="shared" si="7"/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48">
        <f t="shared" si="8"/>
        <v>1</v>
      </c>
      <c r="AZ17" s="7">
        <v>0.5</v>
      </c>
      <c r="BA17" s="7">
        <v>0.5</v>
      </c>
      <c r="BB17" s="7">
        <v>0</v>
      </c>
      <c r="BC17" s="7">
        <v>0</v>
      </c>
      <c r="BD17" s="7">
        <v>0</v>
      </c>
      <c r="BE17" s="48">
        <f t="shared" si="9"/>
        <v>0.2</v>
      </c>
      <c r="BF17" s="7">
        <v>0.5</v>
      </c>
      <c r="BG17" s="7">
        <v>0.5</v>
      </c>
      <c r="BH17" s="7">
        <v>0</v>
      </c>
      <c r="BI17" s="7">
        <v>0</v>
      </c>
      <c r="BJ17" s="7">
        <v>0</v>
      </c>
      <c r="BK17" s="48">
        <f t="shared" si="10"/>
        <v>0.2</v>
      </c>
      <c r="BL17" s="55"/>
      <c r="BM17" s="7"/>
      <c r="BN17" s="7"/>
      <c r="BO17" s="7"/>
      <c r="BP17" s="7"/>
      <c r="BQ17" s="7"/>
      <c r="BR17" s="48">
        <f>SUM(BM17:BQ17)/5*15</f>
        <v>0</v>
      </c>
      <c r="BS17" s="7"/>
      <c r="BT17" s="7"/>
      <c r="BU17" s="7"/>
      <c r="BV17" s="7"/>
      <c r="BW17" s="7"/>
      <c r="BX17" s="48">
        <f t="shared" si="12"/>
        <v>0</v>
      </c>
      <c r="BY17" s="7"/>
      <c r="BZ17" s="7"/>
      <c r="CA17" s="7"/>
      <c r="CB17" s="7"/>
      <c r="CC17" s="7"/>
      <c r="CD17" s="48">
        <f t="shared" si="13"/>
        <v>0</v>
      </c>
      <c r="CE17" s="7"/>
      <c r="CF17" s="7"/>
      <c r="CG17" s="7"/>
      <c r="CH17" s="7"/>
      <c r="CI17" s="7"/>
      <c r="CJ17" s="48">
        <f t="shared" si="14"/>
        <v>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</row>
    <row r="18" spans="1:115" ht="16" x14ac:dyDescent="0.2">
      <c r="A18" s="5" t="s">
        <v>122</v>
      </c>
      <c r="B18" s="5">
        <v>1</v>
      </c>
      <c r="C18" s="13" t="s">
        <v>121</v>
      </c>
      <c r="D18" s="5" t="s">
        <v>76</v>
      </c>
      <c r="E18" s="5">
        <v>1</v>
      </c>
      <c r="F18" s="5">
        <v>1</v>
      </c>
      <c r="G18" s="5"/>
      <c r="H18" s="5">
        <v>1</v>
      </c>
      <c r="I18" s="5"/>
      <c r="J18" s="59"/>
      <c r="K18" s="59"/>
      <c r="L18" s="30">
        <f t="shared" si="15"/>
        <v>31.849999999999998</v>
      </c>
      <c r="M18" s="33">
        <f t="shared" si="1"/>
        <v>45.5</v>
      </c>
      <c r="N18" s="33">
        <f t="shared" si="2"/>
        <v>45.5</v>
      </c>
      <c r="O18" s="57"/>
      <c r="P18" s="44">
        <v>1</v>
      </c>
      <c r="Q18" s="5">
        <v>1</v>
      </c>
      <c r="R18" s="5">
        <v>1</v>
      </c>
      <c r="S18" s="5">
        <v>1</v>
      </c>
      <c r="T18" s="5">
        <v>1</v>
      </c>
      <c r="U18" s="48">
        <f t="shared" si="3"/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48">
        <f t="shared" si="4"/>
        <v>1</v>
      </c>
      <c r="AB18" s="44">
        <v>0</v>
      </c>
      <c r="AC18" s="5">
        <v>0</v>
      </c>
      <c r="AD18" s="5">
        <v>0</v>
      </c>
      <c r="AE18" s="5">
        <v>0</v>
      </c>
      <c r="AF18" s="5">
        <v>0</v>
      </c>
      <c r="AG18" s="48">
        <f t="shared" si="5"/>
        <v>0</v>
      </c>
      <c r="AH18" s="5">
        <v>1</v>
      </c>
      <c r="AI18" s="5">
        <v>1</v>
      </c>
      <c r="AJ18" s="5">
        <v>1</v>
      </c>
      <c r="AK18" s="5">
        <v>0</v>
      </c>
      <c r="AL18" s="5">
        <v>0</v>
      </c>
      <c r="AM18" s="48">
        <f t="shared" si="6"/>
        <v>0.6</v>
      </c>
      <c r="AN18" s="34">
        <v>0.5</v>
      </c>
      <c r="AO18" s="5">
        <v>0</v>
      </c>
      <c r="AP18" s="5">
        <v>0</v>
      </c>
      <c r="AQ18" s="5">
        <v>0</v>
      </c>
      <c r="AR18" s="5">
        <v>0</v>
      </c>
      <c r="AS18" s="48">
        <f t="shared" si="7"/>
        <v>0.1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48">
        <f t="shared" si="8"/>
        <v>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48">
        <f t="shared" si="9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48">
        <f t="shared" si="10"/>
        <v>0</v>
      </c>
      <c r="BL18" s="55"/>
      <c r="BM18" s="5"/>
      <c r="BN18" s="5"/>
      <c r="BO18" s="5"/>
      <c r="BP18" s="5"/>
      <c r="BQ18" s="5"/>
      <c r="BR18" s="48">
        <f t="shared" si="11"/>
        <v>0</v>
      </c>
      <c r="BS18" s="5"/>
      <c r="BT18" s="5"/>
      <c r="BU18" s="5"/>
      <c r="BV18" s="5"/>
      <c r="BW18" s="5"/>
      <c r="BX18" s="48">
        <f t="shared" si="12"/>
        <v>0</v>
      </c>
      <c r="BY18" s="5"/>
      <c r="BZ18" s="5"/>
      <c r="CA18" s="5"/>
      <c r="CB18" s="5"/>
      <c r="CC18" s="5"/>
      <c r="CD18" s="48">
        <f t="shared" si="13"/>
        <v>0</v>
      </c>
      <c r="CE18" s="5"/>
      <c r="CF18" s="5"/>
      <c r="CG18" s="5"/>
      <c r="CH18" s="5"/>
      <c r="CI18" s="5"/>
      <c r="CJ18" s="48">
        <f t="shared" si="14"/>
        <v>0</v>
      </c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</row>
    <row r="19" spans="1:115" s="103" customFormat="1" ht="16" x14ac:dyDescent="0.2">
      <c r="A19" s="94" t="s">
        <v>120</v>
      </c>
      <c r="B19" s="94">
        <v>1</v>
      </c>
      <c r="C19" s="95" t="s">
        <v>119</v>
      </c>
      <c r="D19" s="94" t="s">
        <v>76</v>
      </c>
      <c r="E19" s="94"/>
      <c r="F19" s="94"/>
      <c r="G19" s="94"/>
      <c r="H19" s="94"/>
      <c r="I19" s="94"/>
      <c r="J19" s="94"/>
      <c r="K19" s="94"/>
      <c r="L19" s="96" t="e">
        <f t="shared" si="15"/>
        <v>#DIV/0!</v>
      </c>
      <c r="M19" s="97" t="e">
        <f t="shared" si="1"/>
        <v>#DIV/0!</v>
      </c>
      <c r="N19" s="97" t="e">
        <f t="shared" si="2"/>
        <v>#DIV/0!</v>
      </c>
      <c r="O19" s="98">
        <v>24</v>
      </c>
      <c r="P19" s="99"/>
      <c r="Q19" s="94"/>
      <c r="R19" s="94"/>
      <c r="S19" s="94"/>
      <c r="T19" s="94"/>
      <c r="U19" s="100" t="e">
        <f t="shared" si="3"/>
        <v>#DIV/0!</v>
      </c>
      <c r="V19" s="94"/>
      <c r="W19" s="94"/>
      <c r="X19" s="94"/>
      <c r="Y19" s="94"/>
      <c r="Z19" s="94"/>
      <c r="AA19" s="100" t="e">
        <f t="shared" si="4"/>
        <v>#DIV/0!</v>
      </c>
      <c r="AB19" s="99"/>
      <c r="AC19" s="94"/>
      <c r="AD19" s="94"/>
      <c r="AE19" s="94"/>
      <c r="AF19" s="94"/>
      <c r="AG19" s="100" t="e">
        <f t="shared" si="5"/>
        <v>#DIV/0!</v>
      </c>
      <c r="AH19" s="94"/>
      <c r="AI19" s="94"/>
      <c r="AJ19" s="94"/>
      <c r="AK19" s="94"/>
      <c r="AL19" s="94"/>
      <c r="AM19" s="100" t="e">
        <f t="shared" si="6"/>
        <v>#DIV/0!</v>
      </c>
      <c r="AN19" s="101"/>
      <c r="AO19" s="94"/>
      <c r="AP19" s="94"/>
      <c r="AQ19" s="94"/>
      <c r="AR19" s="94"/>
      <c r="AS19" s="100" t="e">
        <f t="shared" si="7"/>
        <v>#DIV/0!</v>
      </c>
      <c r="AT19" s="94"/>
      <c r="AU19" s="94"/>
      <c r="AV19" s="94"/>
      <c r="AW19" s="94"/>
      <c r="AX19" s="94"/>
      <c r="AY19" s="100" t="e">
        <f t="shared" si="8"/>
        <v>#DIV/0!</v>
      </c>
      <c r="AZ19" s="94"/>
      <c r="BA19" s="94"/>
      <c r="BB19" s="94"/>
      <c r="BC19" s="94"/>
      <c r="BD19" s="94"/>
      <c r="BE19" s="100" t="e">
        <f t="shared" si="9"/>
        <v>#DIV/0!</v>
      </c>
      <c r="BF19" s="94"/>
      <c r="BG19" s="94"/>
      <c r="BH19" s="94"/>
      <c r="BI19" s="94"/>
      <c r="BJ19" s="94"/>
      <c r="BK19" s="100" t="e">
        <f t="shared" si="10"/>
        <v>#DIV/0!</v>
      </c>
      <c r="BL19" s="102"/>
      <c r="BM19" s="94"/>
      <c r="BN19" s="94"/>
      <c r="BO19" s="94"/>
      <c r="BP19" s="94"/>
      <c r="BQ19" s="94"/>
      <c r="BR19" s="100">
        <f t="shared" si="11"/>
        <v>0</v>
      </c>
      <c r="BS19" s="94"/>
      <c r="BT19" s="94"/>
      <c r="BU19" s="94"/>
      <c r="BV19" s="94"/>
      <c r="BW19" s="94"/>
      <c r="BX19" s="100">
        <f>SUM(BS19:BW19)/5*15</f>
        <v>0</v>
      </c>
      <c r="BY19" s="94"/>
      <c r="BZ19" s="94"/>
      <c r="CA19" s="94"/>
      <c r="CB19" s="94"/>
      <c r="CC19" s="94"/>
      <c r="CD19" s="100">
        <f t="shared" si="13"/>
        <v>0</v>
      </c>
      <c r="CE19" s="94"/>
      <c r="CF19" s="94"/>
      <c r="CG19" s="94"/>
      <c r="CH19" s="94"/>
      <c r="CI19" s="94"/>
      <c r="CJ19" s="100">
        <f t="shared" si="14"/>
        <v>0</v>
      </c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</row>
    <row r="20" spans="1:115" s="103" customFormat="1" ht="16" x14ac:dyDescent="0.2">
      <c r="A20" s="94" t="s">
        <v>118</v>
      </c>
      <c r="B20" s="94">
        <v>1</v>
      </c>
      <c r="C20" s="95" t="s">
        <v>117</v>
      </c>
      <c r="D20" s="94" t="s">
        <v>76</v>
      </c>
      <c r="E20" s="94"/>
      <c r="F20" s="94"/>
      <c r="G20" s="94">
        <v>1</v>
      </c>
      <c r="H20" s="94">
        <v>1</v>
      </c>
      <c r="I20" s="94">
        <v>1</v>
      </c>
      <c r="J20" s="94"/>
      <c r="K20" s="94"/>
      <c r="L20" s="96" t="e">
        <f t="shared" si="15"/>
        <v>#DIV/0!</v>
      </c>
      <c r="M20" s="97" t="e">
        <f t="shared" si="1"/>
        <v>#DIV/0!</v>
      </c>
      <c r="N20" s="97" t="e">
        <f t="shared" si="2"/>
        <v>#DIV/0!</v>
      </c>
      <c r="O20" s="98"/>
      <c r="P20" s="99"/>
      <c r="Q20" s="94"/>
      <c r="R20" s="94"/>
      <c r="S20" s="94"/>
      <c r="T20" s="94"/>
      <c r="U20" s="100" t="e">
        <f t="shared" si="3"/>
        <v>#DIV/0!</v>
      </c>
      <c r="V20" s="94"/>
      <c r="W20" s="94"/>
      <c r="X20" s="94"/>
      <c r="Y20" s="94"/>
      <c r="Z20" s="94"/>
      <c r="AA20" s="100" t="e">
        <f t="shared" si="4"/>
        <v>#DIV/0!</v>
      </c>
      <c r="AB20" s="99"/>
      <c r="AC20" s="94"/>
      <c r="AD20" s="94"/>
      <c r="AE20" s="94"/>
      <c r="AF20" s="94"/>
      <c r="AG20" s="100" t="e">
        <f t="shared" si="5"/>
        <v>#DIV/0!</v>
      </c>
      <c r="AH20" s="94"/>
      <c r="AI20" s="94"/>
      <c r="AJ20" s="94"/>
      <c r="AK20" s="94"/>
      <c r="AL20" s="94"/>
      <c r="AM20" s="100" t="e">
        <f t="shared" si="6"/>
        <v>#DIV/0!</v>
      </c>
      <c r="AN20" s="101"/>
      <c r="AO20" s="94"/>
      <c r="AP20" s="94"/>
      <c r="AQ20" s="94"/>
      <c r="AR20" s="94"/>
      <c r="AS20" s="100" t="e">
        <f t="shared" si="7"/>
        <v>#DIV/0!</v>
      </c>
      <c r="AT20" s="94"/>
      <c r="AU20" s="94"/>
      <c r="AV20" s="94"/>
      <c r="AW20" s="94"/>
      <c r="AX20" s="94"/>
      <c r="AY20" s="100" t="e">
        <f t="shared" si="8"/>
        <v>#DIV/0!</v>
      </c>
      <c r="AZ20" s="94"/>
      <c r="BA20" s="94"/>
      <c r="BB20" s="94"/>
      <c r="BC20" s="94"/>
      <c r="BD20" s="94"/>
      <c r="BE20" s="100" t="e">
        <f t="shared" si="9"/>
        <v>#DIV/0!</v>
      </c>
      <c r="BF20" s="94"/>
      <c r="BG20" s="94"/>
      <c r="BH20" s="94"/>
      <c r="BI20" s="94"/>
      <c r="BJ20" s="94"/>
      <c r="BK20" s="100" t="e">
        <f t="shared" si="10"/>
        <v>#DIV/0!</v>
      </c>
      <c r="BL20" s="102"/>
      <c r="BM20" s="94"/>
      <c r="BN20" s="94"/>
      <c r="BO20" s="94"/>
      <c r="BP20" s="94"/>
      <c r="BQ20" s="94"/>
      <c r="BR20" s="100">
        <f t="shared" si="11"/>
        <v>0</v>
      </c>
      <c r="BS20" s="94"/>
      <c r="BT20" s="94"/>
      <c r="BU20" s="94"/>
      <c r="BV20" s="94"/>
      <c r="BW20" s="94"/>
      <c r="BX20" s="100">
        <f t="shared" si="12"/>
        <v>0</v>
      </c>
      <c r="BY20" s="94"/>
      <c r="BZ20" s="94"/>
      <c r="CA20" s="94"/>
      <c r="CB20" s="94"/>
      <c r="CC20" s="94"/>
      <c r="CD20" s="100">
        <f t="shared" si="13"/>
        <v>0</v>
      </c>
      <c r="CE20" s="94"/>
      <c r="CF20" s="94"/>
      <c r="CG20" s="94"/>
      <c r="CH20" s="94"/>
      <c r="CI20" s="94"/>
      <c r="CJ20" s="100">
        <f t="shared" si="14"/>
        <v>0</v>
      </c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</row>
    <row r="21" spans="1:115" ht="16" x14ac:dyDescent="0.2">
      <c r="A21" s="7" t="s">
        <v>116</v>
      </c>
      <c r="B21" s="7">
        <v>1</v>
      </c>
      <c r="C21" s="14" t="s">
        <v>115</v>
      </c>
      <c r="D21" s="7" t="s">
        <v>76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59"/>
      <c r="K21" s="59"/>
      <c r="L21" s="30">
        <f t="shared" si="15"/>
        <v>14.7</v>
      </c>
      <c r="M21" s="33">
        <f t="shared" si="1"/>
        <v>21</v>
      </c>
      <c r="N21" s="33">
        <f t="shared" si="2"/>
        <v>21</v>
      </c>
      <c r="O21" s="57"/>
      <c r="P21" s="45">
        <v>0</v>
      </c>
      <c r="Q21" s="7">
        <v>0</v>
      </c>
      <c r="R21" s="7">
        <v>0</v>
      </c>
      <c r="S21" s="7">
        <v>0</v>
      </c>
      <c r="T21" s="7">
        <v>0</v>
      </c>
      <c r="U21" s="48">
        <f t="shared" si="3"/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48">
        <f t="shared" si="4"/>
        <v>0</v>
      </c>
      <c r="AB21" s="45">
        <v>1</v>
      </c>
      <c r="AC21" s="7">
        <v>1</v>
      </c>
      <c r="AD21" s="7">
        <v>1</v>
      </c>
      <c r="AE21" s="7">
        <v>1</v>
      </c>
      <c r="AF21" s="7">
        <v>1</v>
      </c>
      <c r="AG21" s="48">
        <f t="shared" si="5"/>
        <v>1</v>
      </c>
      <c r="AH21" s="7">
        <v>0.75</v>
      </c>
      <c r="AI21" s="7">
        <v>0.75</v>
      </c>
      <c r="AJ21" s="7">
        <v>0.5</v>
      </c>
      <c r="AK21" s="7">
        <v>0</v>
      </c>
      <c r="AL21" s="7">
        <v>0</v>
      </c>
      <c r="AM21" s="48">
        <f t="shared" si="6"/>
        <v>0.4</v>
      </c>
      <c r="AN21" s="35">
        <v>0</v>
      </c>
      <c r="AO21" s="7">
        <v>0</v>
      </c>
      <c r="AP21" s="7">
        <v>0</v>
      </c>
      <c r="AQ21" s="7">
        <v>0</v>
      </c>
      <c r="AR21" s="7">
        <v>0</v>
      </c>
      <c r="AS21" s="48">
        <f t="shared" si="7"/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48">
        <f t="shared" si="8"/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48">
        <f t="shared" si="9"/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48">
        <f t="shared" si="10"/>
        <v>0</v>
      </c>
      <c r="BL21" s="55"/>
      <c r="BM21" s="7"/>
      <c r="BN21" s="7"/>
      <c r="BO21" s="7"/>
      <c r="BP21" s="7"/>
      <c r="BQ21" s="7"/>
      <c r="BR21" s="48">
        <f t="shared" si="11"/>
        <v>0</v>
      </c>
      <c r="BS21" s="7"/>
      <c r="BT21" s="7"/>
      <c r="BU21" s="7"/>
      <c r="BV21" s="7"/>
      <c r="BW21" s="7"/>
      <c r="BX21" s="48">
        <f t="shared" si="12"/>
        <v>0</v>
      </c>
      <c r="BY21" s="7"/>
      <c r="BZ21" s="7"/>
      <c r="CA21" s="7"/>
      <c r="CB21" s="7"/>
      <c r="CC21" s="7"/>
      <c r="CD21" s="48">
        <f t="shared" si="13"/>
        <v>0</v>
      </c>
      <c r="CE21" s="7"/>
      <c r="CF21" s="7"/>
      <c r="CG21" s="7"/>
      <c r="CH21" s="7"/>
      <c r="CI21" s="7"/>
      <c r="CJ21" s="48">
        <f t="shared" si="14"/>
        <v>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</row>
    <row r="22" spans="1:115" ht="16" x14ac:dyDescent="0.2">
      <c r="A22" s="5" t="s">
        <v>114</v>
      </c>
      <c r="B22" s="5">
        <v>1</v>
      </c>
      <c r="C22" s="13" t="s">
        <v>113</v>
      </c>
      <c r="D22" s="5" t="s">
        <v>76</v>
      </c>
      <c r="E22" s="5">
        <v>1</v>
      </c>
      <c r="F22" s="5"/>
      <c r="G22" s="5">
        <v>1</v>
      </c>
      <c r="H22" s="5">
        <v>1</v>
      </c>
      <c r="I22" s="5">
        <v>1</v>
      </c>
      <c r="J22" s="59"/>
      <c r="K22" s="59"/>
      <c r="L22" s="30">
        <f t="shared" si="15"/>
        <v>57.4</v>
      </c>
      <c r="M22" s="33">
        <f t="shared" si="1"/>
        <v>82</v>
      </c>
      <c r="N22" s="33">
        <f t="shared" si="2"/>
        <v>82</v>
      </c>
      <c r="O22" s="57"/>
      <c r="P22" s="44">
        <v>1</v>
      </c>
      <c r="Q22" s="5">
        <v>1</v>
      </c>
      <c r="R22" s="5">
        <v>1</v>
      </c>
      <c r="S22" s="5">
        <v>1</v>
      </c>
      <c r="T22" s="5">
        <v>1</v>
      </c>
      <c r="U22" s="48">
        <f t="shared" si="3"/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48">
        <f t="shared" si="4"/>
        <v>1</v>
      </c>
      <c r="AB22" s="44">
        <v>1</v>
      </c>
      <c r="AC22" s="5">
        <v>1</v>
      </c>
      <c r="AD22" s="5">
        <v>1</v>
      </c>
      <c r="AE22" s="5">
        <v>1</v>
      </c>
      <c r="AF22" s="5">
        <v>1</v>
      </c>
      <c r="AG22" s="48">
        <f t="shared" si="5"/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48">
        <f t="shared" si="6"/>
        <v>1</v>
      </c>
      <c r="AN22" s="34">
        <v>1</v>
      </c>
      <c r="AO22" s="5">
        <v>1</v>
      </c>
      <c r="AP22" s="5">
        <v>1</v>
      </c>
      <c r="AQ22" s="5">
        <v>1</v>
      </c>
      <c r="AR22" s="5">
        <v>1</v>
      </c>
      <c r="AS22" s="48">
        <f t="shared" si="7"/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48">
        <f t="shared" si="8"/>
        <v>1</v>
      </c>
      <c r="AZ22" s="5">
        <v>0.25</v>
      </c>
      <c r="BA22" s="5">
        <v>0</v>
      </c>
      <c r="BB22" s="5">
        <v>0</v>
      </c>
      <c r="BC22" s="5">
        <v>0</v>
      </c>
      <c r="BD22" s="5">
        <v>0</v>
      </c>
      <c r="BE22" s="48">
        <f t="shared" si="9"/>
        <v>0.05</v>
      </c>
      <c r="BF22" s="5">
        <v>0.25</v>
      </c>
      <c r="BG22" s="5">
        <v>0</v>
      </c>
      <c r="BH22" s="5">
        <v>0</v>
      </c>
      <c r="BI22" s="5">
        <v>0</v>
      </c>
      <c r="BJ22" s="5">
        <v>0</v>
      </c>
      <c r="BK22" s="48">
        <f t="shared" si="10"/>
        <v>0.05</v>
      </c>
      <c r="BL22" s="55"/>
      <c r="BM22" s="5"/>
      <c r="BN22" s="5"/>
      <c r="BO22" s="5"/>
      <c r="BP22" s="5"/>
      <c r="BQ22" s="5"/>
      <c r="BR22" s="48">
        <f t="shared" si="11"/>
        <v>0</v>
      </c>
      <c r="BS22" s="5"/>
      <c r="BT22" s="5"/>
      <c r="BU22" s="5"/>
      <c r="BV22" s="5"/>
      <c r="BW22" s="5"/>
      <c r="BX22" s="48">
        <f t="shared" si="12"/>
        <v>0</v>
      </c>
      <c r="BY22" s="5"/>
      <c r="BZ22" s="5"/>
      <c r="CA22" s="5"/>
      <c r="CB22" s="5"/>
      <c r="CC22" s="5"/>
      <c r="CD22" s="48">
        <f t="shared" si="13"/>
        <v>0</v>
      </c>
      <c r="CE22" s="5"/>
      <c r="CF22" s="5"/>
      <c r="CG22" s="5"/>
      <c r="CH22" s="5"/>
      <c r="CI22" s="5"/>
      <c r="CJ22" s="48">
        <f t="shared" si="14"/>
        <v>0</v>
      </c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</row>
    <row r="23" spans="1:115" ht="16" x14ac:dyDescent="0.2">
      <c r="A23" s="7" t="s">
        <v>112</v>
      </c>
      <c r="B23" s="7">
        <v>1</v>
      </c>
      <c r="C23" s="14" t="s">
        <v>111</v>
      </c>
      <c r="D23" s="7" t="s">
        <v>76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59">
        <v>100</v>
      </c>
      <c r="K23" s="59">
        <v>100</v>
      </c>
      <c r="L23" s="30">
        <f t="shared" si="15"/>
        <v>63.704999999999998</v>
      </c>
      <c r="M23" s="33">
        <f t="shared" si="1"/>
        <v>48.15</v>
      </c>
      <c r="N23" s="33">
        <f t="shared" si="2"/>
        <v>48.15</v>
      </c>
      <c r="O23" s="57"/>
      <c r="P23" s="45">
        <v>1</v>
      </c>
      <c r="Q23" s="7">
        <v>1</v>
      </c>
      <c r="R23" s="7">
        <v>1</v>
      </c>
      <c r="S23" s="7">
        <v>1</v>
      </c>
      <c r="T23" s="7">
        <v>1</v>
      </c>
      <c r="U23" s="48">
        <f t="shared" si="3"/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48">
        <f t="shared" si="4"/>
        <v>1</v>
      </c>
      <c r="AB23" s="45">
        <v>0.75</v>
      </c>
      <c r="AC23" s="7">
        <v>0.75</v>
      </c>
      <c r="AD23" s="7">
        <v>0.75</v>
      </c>
      <c r="AE23" s="7">
        <v>0</v>
      </c>
      <c r="AF23" s="7">
        <v>0.75</v>
      </c>
      <c r="AG23" s="48">
        <f t="shared" si="5"/>
        <v>0.6</v>
      </c>
      <c r="AH23" s="45">
        <v>0.75</v>
      </c>
      <c r="AI23" s="7">
        <v>0.75</v>
      </c>
      <c r="AJ23" s="7">
        <v>0.75</v>
      </c>
      <c r="AK23" s="7">
        <v>0</v>
      </c>
      <c r="AL23" s="7">
        <v>0.75</v>
      </c>
      <c r="AM23" s="48">
        <f t="shared" si="6"/>
        <v>0.6</v>
      </c>
      <c r="AN23" s="35">
        <v>0.75</v>
      </c>
      <c r="AO23" s="7">
        <v>0.8</v>
      </c>
      <c r="AP23" s="7">
        <v>0.5</v>
      </c>
      <c r="AQ23" s="7">
        <v>0</v>
      </c>
      <c r="AR23" s="7">
        <v>0</v>
      </c>
      <c r="AS23" s="48">
        <f t="shared" si="7"/>
        <v>0.41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48">
        <f t="shared" si="8"/>
        <v>0</v>
      </c>
      <c r="AZ23" s="7">
        <v>0.5</v>
      </c>
      <c r="BA23" s="7">
        <v>0.5</v>
      </c>
      <c r="BB23" s="7">
        <v>0</v>
      </c>
      <c r="BC23" s="7">
        <v>0</v>
      </c>
      <c r="BD23" s="7">
        <v>0</v>
      </c>
      <c r="BE23" s="48">
        <f t="shared" si="9"/>
        <v>0.2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48">
        <f t="shared" si="10"/>
        <v>0</v>
      </c>
      <c r="BL23" s="55"/>
      <c r="BM23" s="7"/>
      <c r="BN23" s="7"/>
      <c r="BO23" s="7"/>
      <c r="BP23" s="7"/>
      <c r="BQ23" s="7"/>
      <c r="BR23" s="48">
        <f t="shared" si="11"/>
        <v>0</v>
      </c>
      <c r="BS23" s="7"/>
      <c r="BT23" s="7"/>
      <c r="BU23" s="7"/>
      <c r="BV23" s="7"/>
      <c r="BW23" s="7"/>
      <c r="BX23" s="48">
        <f t="shared" si="12"/>
        <v>0</v>
      </c>
      <c r="BY23" s="7"/>
      <c r="BZ23" s="7"/>
      <c r="CA23" s="7"/>
      <c r="CB23" s="7"/>
      <c r="CC23" s="7"/>
      <c r="CD23" s="48">
        <f t="shared" si="13"/>
        <v>0</v>
      </c>
      <c r="CE23" s="7"/>
      <c r="CF23" s="7"/>
      <c r="CG23" s="7"/>
      <c r="CH23" s="7"/>
      <c r="CI23" s="7"/>
      <c r="CJ23" s="48">
        <f t="shared" si="14"/>
        <v>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</row>
    <row r="24" spans="1:115" ht="16" x14ac:dyDescent="0.2">
      <c r="A24" s="5" t="s">
        <v>110</v>
      </c>
      <c r="B24" s="5">
        <v>1</v>
      </c>
      <c r="C24" s="13" t="s">
        <v>109</v>
      </c>
      <c r="D24" s="5" t="s">
        <v>76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9"/>
      <c r="K24" s="59"/>
      <c r="L24" s="30">
        <f t="shared" si="15"/>
        <v>41.474999999999994</v>
      </c>
      <c r="M24" s="33">
        <f t="shared" si="1"/>
        <v>59.25</v>
      </c>
      <c r="N24" s="33">
        <f t="shared" si="2"/>
        <v>59.25</v>
      </c>
      <c r="O24" s="57">
        <f>BR24*15</f>
        <v>0.75</v>
      </c>
      <c r="P24" s="44">
        <v>0.5</v>
      </c>
      <c r="Q24" s="5">
        <v>0.5</v>
      </c>
      <c r="R24" s="5">
        <v>0.5</v>
      </c>
      <c r="S24" s="5">
        <v>0</v>
      </c>
      <c r="T24" s="5">
        <v>0</v>
      </c>
      <c r="U24" s="48">
        <f t="shared" si="3"/>
        <v>0.3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48">
        <f t="shared" si="4"/>
        <v>1</v>
      </c>
      <c r="AB24" s="44">
        <v>0.5</v>
      </c>
      <c r="AC24" s="5">
        <v>0.5</v>
      </c>
      <c r="AD24" s="5">
        <v>1</v>
      </c>
      <c r="AE24" s="5">
        <v>1</v>
      </c>
      <c r="AF24" s="5">
        <v>1</v>
      </c>
      <c r="AG24" s="48">
        <f t="shared" si="5"/>
        <v>0.8</v>
      </c>
      <c r="AH24" s="5">
        <v>0.5</v>
      </c>
      <c r="AI24" s="5">
        <v>0.5</v>
      </c>
      <c r="AJ24" s="5">
        <v>0.5</v>
      </c>
      <c r="AK24" s="5">
        <v>0</v>
      </c>
      <c r="AL24" s="5">
        <v>0</v>
      </c>
      <c r="AM24" s="48">
        <f t="shared" si="6"/>
        <v>0.3</v>
      </c>
      <c r="AN24" s="34">
        <v>0.5</v>
      </c>
      <c r="AO24" s="5">
        <v>1</v>
      </c>
      <c r="AP24" s="5">
        <v>1</v>
      </c>
      <c r="AQ24" s="5">
        <v>1</v>
      </c>
      <c r="AR24" s="5">
        <v>1</v>
      </c>
      <c r="AS24" s="48">
        <f t="shared" si="7"/>
        <v>0.9</v>
      </c>
      <c r="AT24" s="5">
        <v>0.5</v>
      </c>
      <c r="AU24" s="5">
        <v>1</v>
      </c>
      <c r="AV24" s="5">
        <v>1</v>
      </c>
      <c r="AW24" s="5">
        <v>1</v>
      </c>
      <c r="AX24" s="5">
        <v>1</v>
      </c>
      <c r="AY24" s="48">
        <f t="shared" si="8"/>
        <v>0.9</v>
      </c>
      <c r="AZ24" s="5">
        <v>0.25</v>
      </c>
      <c r="BA24" s="5">
        <v>0</v>
      </c>
      <c r="BB24" s="5">
        <v>0</v>
      </c>
      <c r="BC24" s="5">
        <v>0</v>
      </c>
      <c r="BD24" s="5">
        <v>0</v>
      </c>
      <c r="BE24" s="48">
        <f t="shared" si="9"/>
        <v>0.05</v>
      </c>
      <c r="BF24" s="5">
        <v>0.25</v>
      </c>
      <c r="BG24" s="5">
        <v>0</v>
      </c>
      <c r="BH24" s="5">
        <v>0</v>
      </c>
      <c r="BI24" s="5">
        <v>0</v>
      </c>
      <c r="BJ24" s="5">
        <v>0</v>
      </c>
      <c r="BK24" s="48">
        <f t="shared" si="10"/>
        <v>0.05</v>
      </c>
      <c r="BL24" s="55"/>
      <c r="BM24" s="5">
        <v>0.25</v>
      </c>
      <c r="BN24" s="5">
        <v>0</v>
      </c>
      <c r="BO24" s="5">
        <v>0</v>
      </c>
      <c r="BP24" s="5">
        <v>0</v>
      </c>
      <c r="BQ24" s="5">
        <v>0</v>
      </c>
      <c r="BR24" s="48">
        <f t="shared" si="11"/>
        <v>0.05</v>
      </c>
      <c r="BS24" s="5"/>
      <c r="BT24" s="5"/>
      <c r="BU24" s="5"/>
      <c r="BV24" s="5"/>
      <c r="BW24" s="5"/>
      <c r="BX24" s="48">
        <f t="shared" si="12"/>
        <v>0</v>
      </c>
      <c r="BY24" s="5"/>
      <c r="BZ24" s="5"/>
      <c r="CA24" s="5"/>
      <c r="CB24" s="5"/>
      <c r="CC24" s="5"/>
      <c r="CD24" s="48">
        <f t="shared" si="13"/>
        <v>0</v>
      </c>
      <c r="CE24" s="5"/>
      <c r="CF24" s="5"/>
      <c r="CG24" s="5"/>
      <c r="CH24" s="5"/>
      <c r="CI24" s="5"/>
      <c r="CJ24" s="48">
        <f t="shared" si="14"/>
        <v>0</v>
      </c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</row>
    <row r="25" spans="1:115" ht="16" x14ac:dyDescent="0.2">
      <c r="A25" s="7" t="s">
        <v>108</v>
      </c>
      <c r="B25" s="7">
        <v>1</v>
      </c>
      <c r="C25" s="14" t="s">
        <v>107</v>
      </c>
      <c r="D25" s="7" t="s">
        <v>76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59"/>
      <c r="K25" s="59"/>
      <c r="L25" s="30">
        <f t="shared" si="15"/>
        <v>70</v>
      </c>
      <c r="M25" s="33">
        <f t="shared" si="1"/>
        <v>100</v>
      </c>
      <c r="N25" s="33">
        <f t="shared" si="2"/>
        <v>120</v>
      </c>
      <c r="O25" s="57"/>
      <c r="P25" s="45">
        <v>1</v>
      </c>
      <c r="Q25" s="7">
        <v>1</v>
      </c>
      <c r="R25" s="7">
        <v>1</v>
      </c>
      <c r="S25" s="7">
        <v>1</v>
      </c>
      <c r="T25" s="7">
        <v>1</v>
      </c>
      <c r="U25" s="48">
        <f t="shared" si="3"/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48">
        <f t="shared" si="4"/>
        <v>1</v>
      </c>
      <c r="AB25" s="45">
        <v>1</v>
      </c>
      <c r="AC25" s="7">
        <v>1</v>
      </c>
      <c r="AD25" s="7">
        <v>1</v>
      </c>
      <c r="AE25" s="7">
        <v>1</v>
      </c>
      <c r="AF25" s="7">
        <v>1</v>
      </c>
      <c r="AG25" s="48">
        <f t="shared" si="5"/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48">
        <f t="shared" si="6"/>
        <v>1</v>
      </c>
      <c r="AN25" s="35">
        <v>1</v>
      </c>
      <c r="AO25" s="7">
        <v>1</v>
      </c>
      <c r="AP25" s="7">
        <v>1</v>
      </c>
      <c r="AQ25" s="7">
        <v>1</v>
      </c>
      <c r="AR25" s="7">
        <v>1</v>
      </c>
      <c r="AS25" s="48">
        <f t="shared" si="7"/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48">
        <f t="shared" si="8"/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48">
        <f t="shared" si="9"/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48">
        <f t="shared" si="10"/>
        <v>1</v>
      </c>
      <c r="BL25" s="55"/>
      <c r="BM25" s="7"/>
      <c r="BN25" s="7"/>
      <c r="BO25" s="7"/>
      <c r="BP25" s="7"/>
      <c r="BQ25" s="7"/>
      <c r="BR25" s="48">
        <f t="shared" si="11"/>
        <v>0</v>
      </c>
      <c r="BS25" s="7"/>
      <c r="BT25" s="7"/>
      <c r="BU25" s="7"/>
      <c r="BV25" s="7"/>
      <c r="BW25" s="7"/>
      <c r="BX25" s="48">
        <f t="shared" si="12"/>
        <v>0</v>
      </c>
      <c r="BY25" s="7"/>
      <c r="BZ25" s="7"/>
      <c r="CA25" s="7"/>
      <c r="CB25" s="7"/>
      <c r="CC25" s="7"/>
      <c r="CD25" s="48">
        <f t="shared" si="13"/>
        <v>0</v>
      </c>
      <c r="CE25" s="7"/>
      <c r="CF25" s="7"/>
      <c r="CG25" s="7"/>
      <c r="CH25" s="7"/>
      <c r="CI25" s="7"/>
      <c r="CJ25" s="48">
        <f t="shared" si="14"/>
        <v>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</row>
    <row r="26" spans="1:115" ht="16" x14ac:dyDescent="0.2">
      <c r="A26" s="5" t="s">
        <v>106</v>
      </c>
      <c r="B26" s="5">
        <v>1</v>
      </c>
      <c r="C26" s="13" t="s">
        <v>105</v>
      </c>
      <c r="D26" s="5" t="s">
        <v>76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9"/>
      <c r="K26" s="59"/>
      <c r="L26" s="30">
        <f t="shared" si="15"/>
        <v>48.474999999999994</v>
      </c>
      <c r="M26" s="33">
        <f t="shared" si="1"/>
        <v>69.25</v>
      </c>
      <c r="N26" s="33">
        <f t="shared" si="2"/>
        <v>69.25</v>
      </c>
      <c r="O26" s="57">
        <v>15</v>
      </c>
      <c r="P26" s="44">
        <v>1</v>
      </c>
      <c r="Q26" s="5">
        <v>1</v>
      </c>
      <c r="R26" s="5">
        <v>1</v>
      </c>
      <c r="S26" s="5">
        <v>1</v>
      </c>
      <c r="T26" s="5">
        <v>1</v>
      </c>
      <c r="U26" s="48">
        <f t="shared" si="3"/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48">
        <f t="shared" si="4"/>
        <v>1</v>
      </c>
      <c r="AB26" s="44">
        <v>1</v>
      </c>
      <c r="AC26" s="5">
        <v>0.75</v>
      </c>
      <c r="AD26" s="5">
        <v>0.75</v>
      </c>
      <c r="AE26" s="5">
        <v>0.75</v>
      </c>
      <c r="AF26" s="5">
        <v>0.75</v>
      </c>
      <c r="AG26" s="48">
        <f t="shared" si="5"/>
        <v>0.8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48">
        <f t="shared" si="6"/>
        <v>1</v>
      </c>
      <c r="AN26" s="34">
        <v>0.75</v>
      </c>
      <c r="AO26" s="5">
        <v>0.5</v>
      </c>
      <c r="AP26" s="5">
        <v>0.5</v>
      </c>
      <c r="AQ26" s="5">
        <v>0</v>
      </c>
      <c r="AR26" s="5">
        <v>0</v>
      </c>
      <c r="AS26" s="48">
        <f t="shared" si="7"/>
        <v>0.35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48">
        <f t="shared" si="8"/>
        <v>0</v>
      </c>
      <c r="AZ26" s="5">
        <v>0.5</v>
      </c>
      <c r="BA26" s="5">
        <v>0</v>
      </c>
      <c r="BB26" s="5">
        <v>0</v>
      </c>
      <c r="BC26" s="5">
        <v>0</v>
      </c>
      <c r="BD26" s="5">
        <v>0</v>
      </c>
      <c r="BE26" s="48">
        <f t="shared" si="9"/>
        <v>0.1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48">
        <f t="shared" si="10"/>
        <v>0</v>
      </c>
      <c r="BL26" s="55"/>
      <c r="BM26" s="5"/>
      <c r="BN26" s="5"/>
      <c r="BO26" s="5"/>
      <c r="BP26" s="5"/>
      <c r="BQ26" s="5"/>
      <c r="BR26" s="48">
        <f t="shared" si="11"/>
        <v>0</v>
      </c>
      <c r="BS26" s="5"/>
      <c r="BT26" s="5"/>
      <c r="BU26" s="5"/>
      <c r="BV26" s="5"/>
      <c r="BW26" s="5"/>
      <c r="BX26" s="48">
        <f t="shared" si="12"/>
        <v>0</v>
      </c>
      <c r="BY26" s="5"/>
      <c r="BZ26" s="5"/>
      <c r="CA26" s="5"/>
      <c r="CB26" s="5"/>
      <c r="CC26" s="5"/>
      <c r="CD26" s="48">
        <f t="shared" si="13"/>
        <v>0</v>
      </c>
      <c r="CE26" s="5"/>
      <c r="CF26" s="5"/>
      <c r="CG26" s="5"/>
      <c r="CH26" s="5"/>
      <c r="CI26" s="5"/>
      <c r="CJ26" s="48">
        <f t="shared" si="14"/>
        <v>0</v>
      </c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</row>
    <row r="27" spans="1:115" ht="16" x14ac:dyDescent="0.2">
      <c r="A27" s="7" t="s">
        <v>104</v>
      </c>
      <c r="B27" s="7">
        <v>1</v>
      </c>
      <c r="C27" s="14" t="s">
        <v>103</v>
      </c>
      <c r="D27" s="7" t="s">
        <v>76</v>
      </c>
      <c r="E27" s="7">
        <v>1</v>
      </c>
      <c r="F27" s="7">
        <v>1</v>
      </c>
      <c r="G27" s="7"/>
      <c r="H27" s="7">
        <v>1</v>
      </c>
      <c r="I27" s="7"/>
      <c r="J27" s="59"/>
      <c r="K27" s="59"/>
      <c r="L27" s="30">
        <f t="shared" si="15"/>
        <v>0</v>
      </c>
      <c r="M27" s="33">
        <f t="shared" si="1"/>
        <v>0</v>
      </c>
      <c r="N27" s="33">
        <f t="shared" si="2"/>
        <v>0</v>
      </c>
      <c r="O27" s="57"/>
      <c r="P27" s="45">
        <v>0</v>
      </c>
      <c r="Q27" s="7">
        <v>0</v>
      </c>
      <c r="R27" s="7">
        <v>0</v>
      </c>
      <c r="S27" s="7">
        <v>0</v>
      </c>
      <c r="T27" s="7">
        <v>0</v>
      </c>
      <c r="U27" s="48">
        <f t="shared" si="3"/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48">
        <f t="shared" si="4"/>
        <v>0</v>
      </c>
      <c r="AB27" s="45">
        <v>0</v>
      </c>
      <c r="AC27" s="7">
        <v>0</v>
      </c>
      <c r="AD27" s="7">
        <v>0</v>
      </c>
      <c r="AE27" s="7">
        <v>0</v>
      </c>
      <c r="AF27" s="7">
        <v>0</v>
      </c>
      <c r="AG27" s="48">
        <f t="shared" si="5"/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48">
        <f t="shared" si="6"/>
        <v>0</v>
      </c>
      <c r="AN27" s="35">
        <v>0</v>
      </c>
      <c r="AO27" s="7">
        <v>0</v>
      </c>
      <c r="AP27" s="7">
        <v>0</v>
      </c>
      <c r="AQ27" s="7">
        <v>0</v>
      </c>
      <c r="AR27" s="7">
        <v>0</v>
      </c>
      <c r="AS27" s="48">
        <f t="shared" si="7"/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48">
        <f t="shared" si="8"/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48">
        <f t="shared" si="9"/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48">
        <f t="shared" si="10"/>
        <v>0</v>
      </c>
      <c r="BL27" s="55"/>
      <c r="BM27" s="7"/>
      <c r="BN27" s="7"/>
      <c r="BO27" s="7"/>
      <c r="BP27" s="7"/>
      <c r="BQ27" s="7"/>
      <c r="BR27" s="48">
        <f t="shared" si="11"/>
        <v>0</v>
      </c>
      <c r="BS27" s="7"/>
      <c r="BT27" s="7"/>
      <c r="BU27" s="7"/>
      <c r="BV27" s="7"/>
      <c r="BW27" s="7"/>
      <c r="BX27" s="48">
        <f t="shared" si="12"/>
        <v>0</v>
      </c>
      <c r="BY27" s="7"/>
      <c r="BZ27" s="7"/>
      <c r="CA27" s="7"/>
      <c r="CB27" s="7"/>
      <c r="CC27" s="7"/>
      <c r="CD27" s="48">
        <f t="shared" si="13"/>
        <v>0</v>
      </c>
      <c r="CE27" s="7"/>
      <c r="CF27" s="7"/>
      <c r="CG27" s="7"/>
      <c r="CH27" s="7"/>
      <c r="CI27" s="7"/>
      <c r="CJ27" s="48">
        <f t="shared" si="14"/>
        <v>0</v>
      </c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</row>
    <row r="28" spans="1:115" ht="16" x14ac:dyDescent="0.2">
      <c r="A28" s="5" t="s">
        <v>102</v>
      </c>
      <c r="B28" s="5">
        <v>1</v>
      </c>
      <c r="C28" s="13" t="s">
        <v>101</v>
      </c>
      <c r="D28" s="5" t="s">
        <v>76</v>
      </c>
      <c r="E28" s="5"/>
      <c r="F28" s="5"/>
      <c r="G28" s="5">
        <v>1</v>
      </c>
      <c r="H28" s="5">
        <v>1</v>
      </c>
      <c r="I28" s="5">
        <v>1</v>
      </c>
      <c r="J28" s="59"/>
      <c r="K28" s="59"/>
      <c r="L28" s="30">
        <f t="shared" si="15"/>
        <v>53.339999999999996</v>
      </c>
      <c r="M28" s="33">
        <f t="shared" si="1"/>
        <v>76.2</v>
      </c>
      <c r="N28" s="33">
        <f t="shared" si="2"/>
        <v>76.2</v>
      </c>
      <c r="O28" s="57"/>
      <c r="P28" s="44">
        <v>1</v>
      </c>
      <c r="Q28" s="5">
        <v>1</v>
      </c>
      <c r="R28" s="5">
        <v>1</v>
      </c>
      <c r="S28" s="5">
        <v>1</v>
      </c>
      <c r="T28" s="5">
        <v>1</v>
      </c>
      <c r="U28" s="48">
        <f t="shared" si="3"/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48">
        <f t="shared" si="4"/>
        <v>1</v>
      </c>
      <c r="AB28" s="44">
        <v>0.5</v>
      </c>
      <c r="AC28" s="5">
        <v>0.5</v>
      </c>
      <c r="AD28" s="5">
        <v>0.5</v>
      </c>
      <c r="AE28" s="5">
        <v>0</v>
      </c>
      <c r="AF28" s="5">
        <v>0</v>
      </c>
      <c r="AG28" s="48">
        <f t="shared" si="5"/>
        <v>0.3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48">
        <f t="shared" si="6"/>
        <v>1</v>
      </c>
      <c r="AN28" s="34">
        <v>0.75</v>
      </c>
      <c r="AO28" s="5">
        <v>1</v>
      </c>
      <c r="AP28" s="5">
        <v>0.75</v>
      </c>
      <c r="AQ28" s="5">
        <v>0</v>
      </c>
      <c r="AR28" s="5">
        <v>0</v>
      </c>
      <c r="AS28" s="48">
        <f t="shared" si="7"/>
        <v>0.5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48">
        <f t="shared" si="8"/>
        <v>0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48">
        <f t="shared" si="9"/>
        <v>1</v>
      </c>
      <c r="BF28" s="5">
        <v>0.8</v>
      </c>
      <c r="BG28" s="5">
        <v>1</v>
      </c>
      <c r="BH28" s="5">
        <v>0.5</v>
      </c>
      <c r="BI28" s="5">
        <v>0</v>
      </c>
      <c r="BJ28" s="5">
        <v>0</v>
      </c>
      <c r="BK28" s="48">
        <f t="shared" si="10"/>
        <v>0.45999999999999996</v>
      </c>
      <c r="BL28" s="55"/>
      <c r="BM28" s="5"/>
      <c r="BN28" s="5"/>
      <c r="BO28" s="5"/>
      <c r="BP28" s="5"/>
      <c r="BQ28" s="5"/>
      <c r="BR28" s="48">
        <f t="shared" si="11"/>
        <v>0</v>
      </c>
      <c r="BS28" s="5"/>
      <c r="BT28" s="5"/>
      <c r="BU28" s="5"/>
      <c r="BV28" s="5"/>
      <c r="BW28" s="5"/>
      <c r="BX28" s="48">
        <f t="shared" si="12"/>
        <v>0</v>
      </c>
      <c r="BY28" s="5"/>
      <c r="BZ28" s="5"/>
      <c r="CA28" s="5"/>
      <c r="CB28" s="5"/>
      <c r="CC28" s="5"/>
      <c r="CD28" s="48">
        <f t="shared" si="13"/>
        <v>0</v>
      </c>
      <c r="CE28" s="5"/>
      <c r="CF28" s="5"/>
      <c r="CG28" s="5"/>
      <c r="CH28" s="5"/>
      <c r="CI28" s="5"/>
      <c r="CJ28" s="48">
        <f t="shared" si="14"/>
        <v>0</v>
      </c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</row>
    <row r="29" spans="1:115" ht="16" x14ac:dyDescent="0.2">
      <c r="A29" s="7" t="s">
        <v>100</v>
      </c>
      <c r="B29" s="7">
        <v>1</v>
      </c>
      <c r="C29" s="14" t="s">
        <v>99</v>
      </c>
      <c r="D29" s="7" t="s">
        <v>76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59"/>
      <c r="K29" s="59"/>
      <c r="L29" s="30">
        <f t="shared" si="15"/>
        <v>45.5</v>
      </c>
      <c r="M29" s="33">
        <f t="shared" si="1"/>
        <v>65</v>
      </c>
      <c r="N29" s="33">
        <f t="shared" si="2"/>
        <v>65</v>
      </c>
      <c r="O29" s="57"/>
      <c r="P29" s="45">
        <v>1</v>
      </c>
      <c r="Q29" s="7">
        <v>1</v>
      </c>
      <c r="R29" s="7">
        <v>1</v>
      </c>
      <c r="S29" s="7">
        <v>1</v>
      </c>
      <c r="T29" s="7">
        <v>1</v>
      </c>
      <c r="U29" s="48">
        <f t="shared" si="3"/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48">
        <f t="shared" si="4"/>
        <v>1</v>
      </c>
      <c r="AB29" s="45">
        <v>1</v>
      </c>
      <c r="AC29" s="7">
        <v>1</v>
      </c>
      <c r="AD29" s="7">
        <v>1</v>
      </c>
      <c r="AE29" s="7">
        <v>1</v>
      </c>
      <c r="AF29" s="7">
        <v>1</v>
      </c>
      <c r="AG29" s="48">
        <f t="shared" si="5"/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48">
        <f t="shared" si="6"/>
        <v>1</v>
      </c>
      <c r="AN29" s="35">
        <v>1</v>
      </c>
      <c r="AO29" s="7">
        <v>1</v>
      </c>
      <c r="AP29" s="7">
        <v>1</v>
      </c>
      <c r="AQ29" s="7">
        <v>1</v>
      </c>
      <c r="AR29" s="7">
        <v>1</v>
      </c>
      <c r="AS29" s="48">
        <f t="shared" si="7"/>
        <v>1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48">
        <f t="shared" si="8"/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48">
        <f t="shared" si="9"/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48">
        <f t="shared" si="10"/>
        <v>0</v>
      </c>
      <c r="BL29" s="55"/>
      <c r="BM29" s="7"/>
      <c r="BN29" s="7"/>
      <c r="BO29" s="7"/>
      <c r="BP29" s="7"/>
      <c r="BQ29" s="7"/>
      <c r="BR29" s="48">
        <f t="shared" si="11"/>
        <v>0</v>
      </c>
      <c r="BS29" s="7"/>
      <c r="BT29" s="7"/>
      <c r="BU29" s="7"/>
      <c r="BV29" s="7"/>
      <c r="BW29" s="7"/>
      <c r="BX29" s="48">
        <f t="shared" si="12"/>
        <v>0</v>
      </c>
      <c r="BY29" s="7"/>
      <c r="BZ29" s="7"/>
      <c r="CA29" s="7"/>
      <c r="CB29" s="7"/>
      <c r="CC29" s="7"/>
      <c r="CD29" s="48">
        <f t="shared" si="13"/>
        <v>0</v>
      </c>
      <c r="CE29" s="7"/>
      <c r="CF29" s="7"/>
      <c r="CG29" s="7"/>
      <c r="CH29" s="7"/>
      <c r="CI29" s="7"/>
      <c r="CJ29" s="48">
        <f t="shared" si="14"/>
        <v>0</v>
      </c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</row>
    <row r="30" spans="1:115" ht="16" x14ac:dyDescent="0.2">
      <c r="A30" s="5" t="s">
        <v>98</v>
      </c>
      <c r="B30" s="5">
        <v>1</v>
      </c>
      <c r="C30" s="13" t="s">
        <v>97</v>
      </c>
      <c r="D30" s="5" t="s">
        <v>76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9"/>
      <c r="K30" s="59"/>
      <c r="L30" s="30">
        <f t="shared" si="15"/>
        <v>39.269999999999996</v>
      </c>
      <c r="M30" s="33">
        <f t="shared" si="1"/>
        <v>56.1</v>
      </c>
      <c r="N30" s="33">
        <f t="shared" si="2"/>
        <v>56.1</v>
      </c>
      <c r="O30" s="57"/>
      <c r="P30" s="44">
        <v>1</v>
      </c>
      <c r="Q30" s="5">
        <v>1</v>
      </c>
      <c r="R30" s="5">
        <v>1</v>
      </c>
      <c r="S30" s="5">
        <v>1</v>
      </c>
      <c r="T30" s="5">
        <v>1</v>
      </c>
      <c r="U30" s="48">
        <f t="shared" si="3"/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48">
        <f t="shared" si="4"/>
        <v>1</v>
      </c>
      <c r="AB30" s="44">
        <v>0.75</v>
      </c>
      <c r="AC30" s="5">
        <v>1</v>
      </c>
      <c r="AD30" s="5">
        <v>0.5</v>
      </c>
      <c r="AE30" s="5">
        <v>0</v>
      </c>
      <c r="AF30" s="5">
        <v>0</v>
      </c>
      <c r="AG30" s="48">
        <f t="shared" si="5"/>
        <v>0.45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48">
        <f t="shared" si="6"/>
        <v>0</v>
      </c>
      <c r="AN30" s="34">
        <v>0.75</v>
      </c>
      <c r="AO30" s="5">
        <v>1</v>
      </c>
      <c r="AP30" s="5">
        <v>0.5</v>
      </c>
      <c r="AQ30" s="5">
        <v>0</v>
      </c>
      <c r="AR30" s="5">
        <v>0</v>
      </c>
      <c r="AS30" s="48">
        <f t="shared" si="7"/>
        <v>0.45</v>
      </c>
      <c r="AT30" s="5">
        <v>0.8</v>
      </c>
      <c r="AU30" s="5">
        <v>1</v>
      </c>
      <c r="AV30" s="5">
        <v>0.8</v>
      </c>
      <c r="AW30" s="5">
        <v>0.8</v>
      </c>
      <c r="AX30" s="5">
        <v>0.8</v>
      </c>
      <c r="AY30" s="48">
        <f t="shared" si="8"/>
        <v>0.84000000000000008</v>
      </c>
      <c r="AZ30" s="5">
        <v>0.5</v>
      </c>
      <c r="BA30" s="5">
        <v>0.5</v>
      </c>
      <c r="BB30" s="5">
        <v>0.5</v>
      </c>
      <c r="BC30" s="5">
        <v>0</v>
      </c>
      <c r="BD30" s="5">
        <v>0</v>
      </c>
      <c r="BE30" s="48">
        <f t="shared" si="9"/>
        <v>0.3</v>
      </c>
      <c r="BF30" s="5">
        <v>0.5</v>
      </c>
      <c r="BG30" s="5">
        <v>0.5</v>
      </c>
      <c r="BH30" s="5">
        <v>0</v>
      </c>
      <c r="BI30" s="5">
        <v>0</v>
      </c>
      <c r="BJ30" s="5">
        <v>0</v>
      </c>
      <c r="BK30" s="48">
        <f t="shared" si="10"/>
        <v>0.2</v>
      </c>
      <c r="BL30" s="55"/>
      <c r="BM30" s="5"/>
      <c r="BN30" s="5"/>
      <c r="BO30" s="5"/>
      <c r="BP30" s="5"/>
      <c r="BQ30" s="5"/>
      <c r="BR30" s="48">
        <f t="shared" si="11"/>
        <v>0</v>
      </c>
      <c r="BS30" s="5"/>
      <c r="BT30" s="5"/>
      <c r="BU30" s="5"/>
      <c r="BV30" s="5"/>
      <c r="BW30" s="5"/>
      <c r="BX30" s="48">
        <f t="shared" si="12"/>
        <v>0</v>
      </c>
      <c r="BY30" s="5"/>
      <c r="BZ30" s="5"/>
      <c r="CA30" s="5"/>
      <c r="CB30" s="5"/>
      <c r="CC30" s="5"/>
      <c r="CD30" s="48">
        <f t="shared" si="13"/>
        <v>0</v>
      </c>
      <c r="CE30" s="5"/>
      <c r="CF30" s="5"/>
      <c r="CG30" s="5"/>
      <c r="CH30" s="5"/>
      <c r="CI30" s="5"/>
      <c r="CJ30" s="48">
        <f t="shared" si="14"/>
        <v>0</v>
      </c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</row>
    <row r="31" spans="1:115" ht="16" x14ac:dyDescent="0.2">
      <c r="A31" s="7" t="s">
        <v>96</v>
      </c>
      <c r="B31" s="7">
        <v>1</v>
      </c>
      <c r="C31" s="14" t="s">
        <v>95</v>
      </c>
      <c r="D31" s="7" t="s">
        <v>76</v>
      </c>
      <c r="E31" s="7">
        <v>1</v>
      </c>
      <c r="F31" s="7"/>
      <c r="G31" s="7">
        <v>1</v>
      </c>
      <c r="H31" s="7">
        <v>1</v>
      </c>
      <c r="I31" s="7">
        <v>1</v>
      </c>
      <c r="J31" s="59"/>
      <c r="K31" s="59"/>
      <c r="L31" s="30">
        <f t="shared" si="15"/>
        <v>70</v>
      </c>
      <c r="M31" s="33">
        <f t="shared" si="1"/>
        <v>100</v>
      </c>
      <c r="N31" s="33">
        <f t="shared" si="2"/>
        <v>117</v>
      </c>
      <c r="O31" s="57"/>
      <c r="P31" s="45">
        <v>1</v>
      </c>
      <c r="Q31" s="7">
        <v>1</v>
      </c>
      <c r="R31" s="7">
        <v>1</v>
      </c>
      <c r="S31" s="7">
        <v>1</v>
      </c>
      <c r="T31" s="7">
        <v>1</v>
      </c>
      <c r="U31" s="48">
        <f t="shared" si="3"/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48">
        <f t="shared" si="4"/>
        <v>1</v>
      </c>
      <c r="AB31" s="45">
        <v>1</v>
      </c>
      <c r="AC31" s="7">
        <v>1</v>
      </c>
      <c r="AD31" s="7">
        <v>1</v>
      </c>
      <c r="AE31" s="7">
        <v>1</v>
      </c>
      <c r="AF31" s="7">
        <v>1</v>
      </c>
      <c r="AG31" s="48">
        <f t="shared" si="5"/>
        <v>1</v>
      </c>
      <c r="AH31" s="7">
        <v>1</v>
      </c>
      <c r="AI31" s="7">
        <v>0.75</v>
      </c>
      <c r="AJ31" s="7">
        <v>0.75</v>
      </c>
      <c r="AK31" s="7">
        <v>0.75</v>
      </c>
      <c r="AL31" s="7">
        <v>0.75</v>
      </c>
      <c r="AM31" s="48">
        <f t="shared" si="6"/>
        <v>0.8</v>
      </c>
      <c r="AN31" s="35">
        <v>1</v>
      </c>
      <c r="AO31" s="7">
        <v>1</v>
      </c>
      <c r="AP31" s="7">
        <v>1</v>
      </c>
      <c r="AQ31" s="7">
        <v>1</v>
      </c>
      <c r="AR31" s="7">
        <v>1</v>
      </c>
      <c r="AS31" s="48">
        <f t="shared" si="7"/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48">
        <f t="shared" si="8"/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48">
        <f t="shared" si="9"/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48">
        <f t="shared" si="10"/>
        <v>1</v>
      </c>
      <c r="BL31" s="55"/>
      <c r="BM31" s="7"/>
      <c r="BN31" s="7"/>
      <c r="BO31" s="7"/>
      <c r="BP31" s="7"/>
      <c r="BQ31" s="7"/>
      <c r="BR31" s="48">
        <f t="shared" si="11"/>
        <v>0</v>
      </c>
      <c r="BS31" s="7"/>
      <c r="BT31" s="7"/>
      <c r="BU31" s="7"/>
      <c r="BV31" s="7"/>
      <c r="BW31" s="7"/>
      <c r="BX31" s="48">
        <f t="shared" si="12"/>
        <v>0</v>
      </c>
      <c r="BY31" s="7"/>
      <c r="BZ31" s="7"/>
      <c r="CA31" s="7"/>
      <c r="CB31" s="7">
        <v>1</v>
      </c>
      <c r="CC31" s="7"/>
      <c r="CD31" s="48">
        <f t="shared" si="13"/>
        <v>0.2</v>
      </c>
      <c r="CE31" s="7"/>
      <c r="CF31" s="7"/>
      <c r="CG31" s="7"/>
      <c r="CH31" s="7">
        <v>1</v>
      </c>
      <c r="CI31" s="7"/>
      <c r="CJ31" s="48">
        <f t="shared" si="14"/>
        <v>0.2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</row>
    <row r="32" spans="1:115" ht="16" x14ac:dyDescent="0.2">
      <c r="A32" s="5" t="s">
        <v>94</v>
      </c>
      <c r="B32" s="5">
        <v>1</v>
      </c>
      <c r="C32" s="13" t="s">
        <v>93</v>
      </c>
      <c r="D32" s="5" t="s">
        <v>76</v>
      </c>
      <c r="E32" s="5">
        <v>1</v>
      </c>
      <c r="F32" s="5">
        <v>1</v>
      </c>
      <c r="G32" s="5"/>
      <c r="H32" s="5">
        <v>1</v>
      </c>
      <c r="I32" s="5"/>
      <c r="J32" s="59"/>
      <c r="K32" s="59"/>
      <c r="L32" s="30">
        <f t="shared" si="15"/>
        <v>21.56</v>
      </c>
      <c r="M32" s="33">
        <f t="shared" si="1"/>
        <v>30.8</v>
      </c>
      <c r="N32" s="33">
        <f t="shared" si="2"/>
        <v>30.8</v>
      </c>
      <c r="O32" s="57"/>
      <c r="P32" s="44">
        <v>1</v>
      </c>
      <c r="Q32" s="5">
        <v>1</v>
      </c>
      <c r="R32" s="5">
        <v>1</v>
      </c>
      <c r="S32" s="5">
        <v>1</v>
      </c>
      <c r="T32" s="5">
        <v>1</v>
      </c>
      <c r="U32" s="48">
        <f t="shared" si="3"/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48">
        <f t="shared" si="4"/>
        <v>1</v>
      </c>
      <c r="AB32" s="44">
        <v>0.5</v>
      </c>
      <c r="AC32" s="5">
        <v>0.5</v>
      </c>
      <c r="AD32" s="5">
        <v>0</v>
      </c>
      <c r="AE32" s="5">
        <v>0</v>
      </c>
      <c r="AF32" s="5">
        <v>0</v>
      </c>
      <c r="AG32" s="48">
        <f t="shared" si="5"/>
        <v>0.2</v>
      </c>
      <c r="AH32" s="5">
        <v>1</v>
      </c>
      <c r="AI32" s="5">
        <v>0.8</v>
      </c>
      <c r="AJ32" s="5">
        <v>0.8</v>
      </c>
      <c r="AK32" s="5">
        <v>0</v>
      </c>
      <c r="AL32" s="5">
        <v>0</v>
      </c>
      <c r="AM32" s="48">
        <f t="shared" si="6"/>
        <v>0.52</v>
      </c>
      <c r="AN32" s="34">
        <v>0</v>
      </c>
      <c r="AO32" s="5">
        <v>0</v>
      </c>
      <c r="AP32" s="5">
        <v>0</v>
      </c>
      <c r="AQ32" s="5">
        <v>0</v>
      </c>
      <c r="AR32" s="5">
        <v>0</v>
      </c>
      <c r="AS32" s="48">
        <f t="shared" si="7"/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48">
        <f t="shared" si="8"/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48">
        <f t="shared" si="9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48">
        <f t="shared" si="10"/>
        <v>0</v>
      </c>
      <c r="BL32" s="55"/>
      <c r="BM32" s="5"/>
      <c r="BN32" s="5"/>
      <c r="BO32" s="5"/>
      <c r="BP32" s="5"/>
      <c r="BQ32" s="5"/>
      <c r="BR32" s="48">
        <f t="shared" si="11"/>
        <v>0</v>
      </c>
      <c r="BS32" s="5"/>
      <c r="BT32" s="5"/>
      <c r="BU32" s="5"/>
      <c r="BV32" s="5"/>
      <c r="BW32" s="5"/>
      <c r="BX32" s="48">
        <f t="shared" si="12"/>
        <v>0</v>
      </c>
      <c r="BY32" s="5"/>
      <c r="BZ32" s="5"/>
      <c r="CA32" s="5"/>
      <c r="CB32" s="5"/>
      <c r="CC32" s="5"/>
      <c r="CD32" s="48">
        <f t="shared" si="13"/>
        <v>0</v>
      </c>
      <c r="CE32" s="5"/>
      <c r="CF32" s="5"/>
      <c r="CG32" s="5"/>
      <c r="CH32" s="5"/>
      <c r="CI32" s="5"/>
      <c r="CJ32" s="48">
        <f t="shared" si="14"/>
        <v>0</v>
      </c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</row>
    <row r="33" spans="1:115" ht="16" x14ac:dyDescent="0.2">
      <c r="A33" s="7" t="s">
        <v>92</v>
      </c>
      <c r="B33" s="7">
        <v>1</v>
      </c>
      <c r="C33" s="14" t="s">
        <v>91</v>
      </c>
      <c r="D33" s="7" t="s">
        <v>76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59"/>
      <c r="K33" s="59"/>
      <c r="L33" s="30">
        <f t="shared" si="15"/>
        <v>69.3</v>
      </c>
      <c r="M33" s="33">
        <f t="shared" si="1"/>
        <v>99</v>
      </c>
      <c r="N33" s="33">
        <f t="shared" si="2"/>
        <v>99</v>
      </c>
      <c r="O33" s="57">
        <v>15</v>
      </c>
      <c r="P33" s="45">
        <v>1</v>
      </c>
      <c r="Q33" s="7">
        <v>1</v>
      </c>
      <c r="R33" s="7">
        <v>1</v>
      </c>
      <c r="S33" s="7">
        <v>1</v>
      </c>
      <c r="T33" s="7">
        <v>1</v>
      </c>
      <c r="U33" s="48">
        <f t="shared" si="3"/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48">
        <f t="shared" si="4"/>
        <v>1</v>
      </c>
      <c r="AB33" s="45">
        <v>1</v>
      </c>
      <c r="AC33" s="7">
        <v>1</v>
      </c>
      <c r="AD33" s="7">
        <v>1</v>
      </c>
      <c r="AE33" s="7">
        <v>1</v>
      </c>
      <c r="AF33" s="7">
        <v>1</v>
      </c>
      <c r="AG33" s="48">
        <f t="shared" si="5"/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48">
        <f t="shared" si="6"/>
        <v>1</v>
      </c>
      <c r="AN33" s="35">
        <v>1</v>
      </c>
      <c r="AO33" s="7">
        <v>1</v>
      </c>
      <c r="AP33" s="7">
        <v>1</v>
      </c>
      <c r="AQ33" s="7">
        <v>1</v>
      </c>
      <c r="AR33" s="7">
        <v>1</v>
      </c>
      <c r="AS33" s="48">
        <f t="shared" si="7"/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48">
        <f t="shared" si="8"/>
        <v>1</v>
      </c>
      <c r="AZ33" s="7">
        <v>0.5</v>
      </c>
      <c r="BA33" s="7">
        <v>0.5</v>
      </c>
      <c r="BB33" s="7">
        <v>0</v>
      </c>
      <c r="BC33" s="7">
        <v>0</v>
      </c>
      <c r="BD33" s="7">
        <v>0</v>
      </c>
      <c r="BE33" s="48">
        <f t="shared" si="9"/>
        <v>0.2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48">
        <f t="shared" si="10"/>
        <v>0</v>
      </c>
      <c r="BL33" s="55"/>
      <c r="BM33" s="7"/>
      <c r="BN33" s="7"/>
      <c r="BO33" s="7"/>
      <c r="BP33" s="7"/>
      <c r="BQ33" s="7"/>
      <c r="BR33" s="48">
        <f t="shared" si="11"/>
        <v>0</v>
      </c>
      <c r="BS33" s="7"/>
      <c r="BT33" s="7"/>
      <c r="BU33" s="7"/>
      <c r="BV33" s="7"/>
      <c r="BW33" s="7"/>
      <c r="BX33" s="48">
        <f t="shared" si="12"/>
        <v>0</v>
      </c>
      <c r="BY33" s="7"/>
      <c r="BZ33" s="7"/>
      <c r="CA33" s="7"/>
      <c r="CB33" s="7"/>
      <c r="CC33" s="7"/>
      <c r="CD33" s="48">
        <f t="shared" si="13"/>
        <v>0</v>
      </c>
      <c r="CE33" s="7"/>
      <c r="CF33" s="7"/>
      <c r="CG33" s="7"/>
      <c r="CH33" s="7"/>
      <c r="CI33" s="7"/>
      <c r="CJ33" s="48">
        <f t="shared" si="14"/>
        <v>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</row>
    <row r="34" spans="1:115" ht="16" x14ac:dyDescent="0.2">
      <c r="A34" s="5" t="s">
        <v>90</v>
      </c>
      <c r="B34" s="5">
        <v>1</v>
      </c>
      <c r="C34" s="13" t="s">
        <v>89</v>
      </c>
      <c r="D34" s="5" t="s">
        <v>76</v>
      </c>
      <c r="E34" s="5"/>
      <c r="F34" s="5"/>
      <c r="G34" s="5"/>
      <c r="H34" s="5"/>
      <c r="I34" s="5">
        <v>1</v>
      </c>
      <c r="J34" s="59"/>
      <c r="K34" s="59"/>
      <c r="L34" s="30">
        <f t="shared" si="15"/>
        <v>16.45</v>
      </c>
      <c r="M34" s="33">
        <f t="shared" si="1"/>
        <v>23.5</v>
      </c>
      <c r="N34" s="33">
        <f t="shared" si="2"/>
        <v>23.5</v>
      </c>
      <c r="O34" s="57">
        <v>0</v>
      </c>
      <c r="P34" s="44">
        <v>1</v>
      </c>
      <c r="Q34" s="5">
        <v>1</v>
      </c>
      <c r="R34" s="5">
        <v>1</v>
      </c>
      <c r="S34" s="5">
        <v>1</v>
      </c>
      <c r="T34" s="5">
        <v>1</v>
      </c>
      <c r="U34" s="48">
        <f t="shared" si="3"/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48">
        <f t="shared" si="4"/>
        <v>1</v>
      </c>
      <c r="AB34" s="44">
        <v>0</v>
      </c>
      <c r="AC34" s="5">
        <v>0</v>
      </c>
      <c r="AD34" s="5">
        <v>0</v>
      </c>
      <c r="AE34" s="5">
        <v>0</v>
      </c>
      <c r="AF34" s="5">
        <v>0</v>
      </c>
      <c r="AG34" s="48">
        <f t="shared" si="5"/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48">
        <f t="shared" si="6"/>
        <v>0</v>
      </c>
      <c r="AN34" s="34">
        <v>0.5</v>
      </c>
      <c r="AO34" s="5">
        <v>0</v>
      </c>
      <c r="AP34" s="5">
        <v>0</v>
      </c>
      <c r="AQ34" s="5">
        <v>0</v>
      </c>
      <c r="AR34" s="5">
        <v>0</v>
      </c>
      <c r="AS34" s="48">
        <f t="shared" si="7"/>
        <v>0.1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48">
        <f t="shared" si="8"/>
        <v>0</v>
      </c>
      <c r="AZ34" s="5">
        <v>0.5</v>
      </c>
      <c r="BA34" s="5">
        <v>0</v>
      </c>
      <c r="BB34" s="5">
        <v>0</v>
      </c>
      <c r="BC34" s="5">
        <v>0</v>
      </c>
      <c r="BD34" s="5">
        <v>0</v>
      </c>
      <c r="BE34" s="48">
        <f t="shared" si="9"/>
        <v>0.1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48">
        <f t="shared" si="10"/>
        <v>0</v>
      </c>
      <c r="BL34" s="55"/>
      <c r="BM34" s="5"/>
      <c r="BN34" s="5"/>
      <c r="BO34" s="5"/>
      <c r="BP34" s="5"/>
      <c r="BQ34" s="5"/>
      <c r="BR34" s="48">
        <f t="shared" si="11"/>
        <v>0</v>
      </c>
      <c r="BS34" s="5"/>
      <c r="BT34" s="5"/>
      <c r="BU34" s="5"/>
      <c r="BV34" s="5"/>
      <c r="BW34" s="5"/>
      <c r="BX34" s="48">
        <f t="shared" si="12"/>
        <v>0</v>
      </c>
      <c r="BY34" s="5"/>
      <c r="BZ34" s="5"/>
      <c r="CA34" s="5"/>
      <c r="CB34" s="5"/>
      <c r="CC34" s="5"/>
      <c r="CD34" s="48">
        <f t="shared" si="13"/>
        <v>0</v>
      </c>
      <c r="CE34" s="5"/>
      <c r="CF34" s="5"/>
      <c r="CG34" s="5"/>
      <c r="CH34" s="5"/>
      <c r="CI34" s="5"/>
      <c r="CJ34" s="48">
        <f t="shared" si="14"/>
        <v>0</v>
      </c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</row>
    <row r="35" spans="1:115" s="103" customFormat="1" ht="16" x14ac:dyDescent="0.2">
      <c r="A35" s="94" t="s">
        <v>88</v>
      </c>
      <c r="B35" s="94">
        <v>1</v>
      </c>
      <c r="C35" s="95" t="s">
        <v>87</v>
      </c>
      <c r="D35" s="94" t="s">
        <v>76</v>
      </c>
      <c r="E35" s="94"/>
      <c r="F35" s="94"/>
      <c r="G35" s="94"/>
      <c r="H35" s="94">
        <v>1</v>
      </c>
      <c r="I35" s="94">
        <v>1</v>
      </c>
      <c r="J35" s="94"/>
      <c r="K35" s="94"/>
      <c r="L35" s="96" t="e">
        <f t="shared" si="15"/>
        <v>#DIV/0!</v>
      </c>
      <c r="M35" s="97" t="e">
        <f t="shared" si="1"/>
        <v>#DIV/0!</v>
      </c>
      <c r="N35" s="97" t="e">
        <f t="shared" si="2"/>
        <v>#DIV/0!</v>
      </c>
      <c r="O35" s="98"/>
      <c r="P35" s="99"/>
      <c r="Q35" s="94"/>
      <c r="R35" s="94"/>
      <c r="S35" s="94"/>
      <c r="T35" s="94"/>
      <c r="U35" s="100" t="e">
        <f t="shared" si="3"/>
        <v>#DIV/0!</v>
      </c>
      <c r="V35" s="94"/>
      <c r="W35" s="94"/>
      <c r="X35" s="94"/>
      <c r="Y35" s="94"/>
      <c r="Z35" s="94"/>
      <c r="AA35" s="100" t="e">
        <f t="shared" si="4"/>
        <v>#DIV/0!</v>
      </c>
      <c r="AB35" s="99"/>
      <c r="AC35" s="94"/>
      <c r="AD35" s="94"/>
      <c r="AE35" s="94"/>
      <c r="AF35" s="94"/>
      <c r="AG35" s="100" t="e">
        <f t="shared" si="5"/>
        <v>#DIV/0!</v>
      </c>
      <c r="AH35" s="94"/>
      <c r="AI35" s="94"/>
      <c r="AJ35" s="94"/>
      <c r="AK35" s="94"/>
      <c r="AL35" s="94"/>
      <c r="AM35" s="100" t="e">
        <f t="shared" si="6"/>
        <v>#DIV/0!</v>
      </c>
      <c r="AN35" s="101"/>
      <c r="AO35" s="94"/>
      <c r="AP35" s="94"/>
      <c r="AQ35" s="94"/>
      <c r="AR35" s="94"/>
      <c r="AS35" s="100" t="e">
        <f t="shared" si="7"/>
        <v>#DIV/0!</v>
      </c>
      <c r="AT35" s="94"/>
      <c r="AU35" s="94"/>
      <c r="AV35" s="94"/>
      <c r="AW35" s="94"/>
      <c r="AX35" s="94"/>
      <c r="AY35" s="100" t="e">
        <f t="shared" si="8"/>
        <v>#DIV/0!</v>
      </c>
      <c r="AZ35" s="94"/>
      <c r="BA35" s="94"/>
      <c r="BB35" s="94"/>
      <c r="BC35" s="94"/>
      <c r="BD35" s="94"/>
      <c r="BE35" s="100" t="e">
        <f t="shared" si="9"/>
        <v>#DIV/0!</v>
      </c>
      <c r="BF35" s="94"/>
      <c r="BG35" s="94"/>
      <c r="BH35" s="94"/>
      <c r="BI35" s="94"/>
      <c r="BJ35" s="94"/>
      <c r="BK35" s="100" t="e">
        <f t="shared" si="10"/>
        <v>#DIV/0!</v>
      </c>
      <c r="BL35" s="102"/>
      <c r="BM35" s="94"/>
      <c r="BN35" s="94"/>
      <c r="BO35" s="94"/>
      <c r="BP35" s="94"/>
      <c r="BQ35" s="94"/>
      <c r="BR35" s="100">
        <f t="shared" si="11"/>
        <v>0</v>
      </c>
      <c r="BS35" s="94"/>
      <c r="BT35" s="94"/>
      <c r="BU35" s="94"/>
      <c r="BV35" s="94"/>
      <c r="BW35" s="94"/>
      <c r="BX35" s="100">
        <f t="shared" si="12"/>
        <v>0</v>
      </c>
      <c r="BY35" s="94"/>
      <c r="BZ35" s="94"/>
      <c r="CA35" s="94"/>
      <c r="CB35" s="94"/>
      <c r="CC35" s="94"/>
      <c r="CD35" s="100">
        <f t="shared" si="13"/>
        <v>0</v>
      </c>
      <c r="CE35" s="94"/>
      <c r="CF35" s="94"/>
      <c r="CG35" s="94"/>
      <c r="CH35" s="94"/>
      <c r="CI35" s="94"/>
      <c r="CJ35" s="100">
        <f t="shared" si="14"/>
        <v>0</v>
      </c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</row>
    <row r="36" spans="1:115" ht="16" x14ac:dyDescent="0.2">
      <c r="A36" s="5" t="s">
        <v>86</v>
      </c>
      <c r="B36" s="5">
        <v>1</v>
      </c>
      <c r="C36" s="13" t="s">
        <v>85</v>
      </c>
      <c r="D36" s="5" t="s">
        <v>76</v>
      </c>
      <c r="E36" s="5">
        <v>1</v>
      </c>
      <c r="F36" s="5">
        <v>1</v>
      </c>
      <c r="G36" s="5">
        <v>1</v>
      </c>
      <c r="H36" s="5">
        <v>1</v>
      </c>
      <c r="I36" s="5"/>
      <c r="J36" s="59"/>
      <c r="K36" s="59"/>
      <c r="L36" s="30">
        <f t="shared" si="15"/>
        <v>44.8</v>
      </c>
      <c r="M36" s="33">
        <f t="shared" si="1"/>
        <v>64</v>
      </c>
      <c r="N36" s="33">
        <f t="shared" si="2"/>
        <v>64</v>
      </c>
      <c r="O36" s="57"/>
      <c r="P36" s="44">
        <v>0</v>
      </c>
      <c r="Q36" s="5">
        <v>0</v>
      </c>
      <c r="R36" s="5">
        <v>0</v>
      </c>
      <c r="S36" s="5">
        <v>0</v>
      </c>
      <c r="T36" s="5">
        <v>0</v>
      </c>
      <c r="U36" s="48">
        <f t="shared" si="3"/>
        <v>0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48">
        <f t="shared" si="4"/>
        <v>1</v>
      </c>
      <c r="AB36" s="44">
        <v>1</v>
      </c>
      <c r="AC36" s="5">
        <v>1</v>
      </c>
      <c r="AD36" s="5">
        <v>1</v>
      </c>
      <c r="AE36" s="5">
        <v>1</v>
      </c>
      <c r="AF36" s="5">
        <v>1</v>
      </c>
      <c r="AG36" s="48">
        <f t="shared" si="5"/>
        <v>1</v>
      </c>
      <c r="AH36" s="5">
        <v>1</v>
      </c>
      <c r="AI36" s="5">
        <v>1</v>
      </c>
      <c r="AJ36" s="5">
        <v>1</v>
      </c>
      <c r="AK36" s="5">
        <v>0</v>
      </c>
      <c r="AL36" s="5">
        <v>1</v>
      </c>
      <c r="AM36" s="48">
        <f t="shared" si="6"/>
        <v>0.8</v>
      </c>
      <c r="AN36" s="34">
        <v>1</v>
      </c>
      <c r="AO36" s="5">
        <v>1</v>
      </c>
      <c r="AP36" s="5">
        <v>1</v>
      </c>
      <c r="AQ36" s="5">
        <v>0</v>
      </c>
      <c r="AR36" s="5">
        <v>1</v>
      </c>
      <c r="AS36" s="48">
        <f t="shared" si="7"/>
        <v>0.8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48">
        <f t="shared" si="8"/>
        <v>1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48">
        <f t="shared" si="9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48">
        <f t="shared" si="10"/>
        <v>0</v>
      </c>
      <c r="BL36" s="55"/>
      <c r="BM36" s="5"/>
      <c r="BN36" s="5"/>
      <c r="BO36" s="5"/>
      <c r="BP36" s="5"/>
      <c r="BQ36" s="5"/>
      <c r="BR36" s="48">
        <f t="shared" si="11"/>
        <v>0</v>
      </c>
      <c r="BS36" s="5"/>
      <c r="BT36" s="5"/>
      <c r="BU36" s="5"/>
      <c r="BV36" s="5"/>
      <c r="BW36" s="5"/>
      <c r="BX36" s="48">
        <f t="shared" si="12"/>
        <v>0</v>
      </c>
      <c r="BY36" s="5"/>
      <c r="BZ36" s="5"/>
      <c r="CA36" s="5"/>
      <c r="CB36" s="5"/>
      <c r="CC36" s="5"/>
      <c r="CD36" s="48">
        <f t="shared" si="13"/>
        <v>0</v>
      </c>
      <c r="CE36" s="5"/>
      <c r="CF36" s="5"/>
      <c r="CG36" s="5"/>
      <c r="CH36" s="5"/>
      <c r="CI36" s="5"/>
      <c r="CJ36" s="48">
        <f t="shared" si="14"/>
        <v>0</v>
      </c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</row>
    <row r="37" spans="1:115" ht="16" x14ac:dyDescent="0.2">
      <c r="A37" s="7" t="s">
        <v>84</v>
      </c>
      <c r="B37" s="7">
        <v>1</v>
      </c>
      <c r="C37" s="14" t="s">
        <v>83</v>
      </c>
      <c r="D37" s="7" t="s">
        <v>76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59">
        <v>100</v>
      </c>
      <c r="K37" s="59">
        <v>100</v>
      </c>
      <c r="L37" s="30">
        <f t="shared" si="15"/>
        <v>100</v>
      </c>
      <c r="M37" s="33">
        <f t="shared" si="1"/>
        <v>100</v>
      </c>
      <c r="N37" s="33">
        <f>U37*10+AA37*10+AG37*15+AM37*15+AS37*15+AY37*15+BE37*20+BK37*20+O37</f>
        <v>140.6</v>
      </c>
      <c r="O37" s="57">
        <v>32</v>
      </c>
      <c r="P37" s="45">
        <v>1</v>
      </c>
      <c r="Q37" s="7">
        <v>1</v>
      </c>
      <c r="R37" s="7">
        <v>1</v>
      </c>
      <c r="S37" s="7">
        <v>1</v>
      </c>
      <c r="T37" s="7">
        <v>1</v>
      </c>
      <c r="U37" s="48">
        <f t="shared" si="3"/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48">
        <f t="shared" si="4"/>
        <v>1</v>
      </c>
      <c r="AB37" s="45">
        <v>1</v>
      </c>
      <c r="AC37" s="7">
        <v>1</v>
      </c>
      <c r="AD37" s="7">
        <v>1</v>
      </c>
      <c r="AE37" s="7">
        <v>1</v>
      </c>
      <c r="AF37" s="7">
        <v>1</v>
      </c>
      <c r="AG37" s="48">
        <f t="shared" si="5"/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48">
        <f t="shared" si="6"/>
        <v>1</v>
      </c>
      <c r="AN37" s="35">
        <v>1</v>
      </c>
      <c r="AO37" s="7">
        <v>1</v>
      </c>
      <c r="AP37" s="7">
        <v>1</v>
      </c>
      <c r="AQ37" s="7">
        <v>1</v>
      </c>
      <c r="AR37" s="7">
        <v>1</v>
      </c>
      <c r="AS37" s="48">
        <f t="shared" si="7"/>
        <v>1</v>
      </c>
      <c r="AT37" s="7">
        <v>1</v>
      </c>
      <c r="AU37" s="7">
        <v>0.8</v>
      </c>
      <c r="AV37" s="7">
        <v>0.8</v>
      </c>
      <c r="AW37" s="7">
        <v>0.8</v>
      </c>
      <c r="AX37" s="7">
        <v>0.8</v>
      </c>
      <c r="AY37" s="48">
        <f t="shared" si="8"/>
        <v>0.84000000000000008</v>
      </c>
      <c r="AZ37" s="7">
        <v>1</v>
      </c>
      <c r="BA37" s="7">
        <v>1</v>
      </c>
      <c r="BB37" s="7">
        <v>1</v>
      </c>
      <c r="BC37" s="7">
        <v>0.75</v>
      </c>
      <c r="BD37" s="7">
        <v>0.5</v>
      </c>
      <c r="BE37" s="48">
        <f t="shared" si="9"/>
        <v>0.85</v>
      </c>
      <c r="BF37" s="7">
        <v>0.75</v>
      </c>
      <c r="BG37" s="7">
        <v>1</v>
      </c>
      <c r="BH37" s="7">
        <v>0.75</v>
      </c>
      <c r="BI37" s="7">
        <v>0.5</v>
      </c>
      <c r="BJ37" s="7">
        <v>0.5</v>
      </c>
      <c r="BK37" s="48">
        <f t="shared" si="10"/>
        <v>0.7</v>
      </c>
      <c r="BL37" s="55"/>
      <c r="BM37" s="7">
        <v>0.5</v>
      </c>
      <c r="BN37" s="7">
        <v>1</v>
      </c>
      <c r="BO37" s="7">
        <v>0.5</v>
      </c>
      <c r="BP37" s="7">
        <v>0.5</v>
      </c>
      <c r="BQ37" s="7">
        <v>0.5</v>
      </c>
      <c r="BR37" s="48">
        <f>SUM(BM37:BQ37)/5*0.2</f>
        <v>0.12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48">
        <f>SUM(BS37:BW37)/5*0.2</f>
        <v>0.2</v>
      </c>
      <c r="BY37" s="7"/>
      <c r="BZ37" s="7"/>
      <c r="CA37" s="7"/>
      <c r="CB37" s="7"/>
      <c r="CC37" s="7"/>
      <c r="CD37" s="48">
        <f t="shared" si="13"/>
        <v>0</v>
      </c>
      <c r="CE37" s="7"/>
      <c r="CF37" s="7"/>
      <c r="CG37" s="7"/>
      <c r="CH37" s="7"/>
      <c r="CI37" s="7"/>
      <c r="CJ37" s="48">
        <f t="shared" si="14"/>
        <v>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</row>
    <row r="38" spans="1:115" ht="16" x14ac:dyDescent="0.2">
      <c r="A38" s="5" t="s">
        <v>82</v>
      </c>
      <c r="B38" s="5">
        <v>1</v>
      </c>
      <c r="C38" s="13" t="s">
        <v>81</v>
      </c>
      <c r="D38" s="5" t="s">
        <v>76</v>
      </c>
      <c r="E38" s="5">
        <v>1</v>
      </c>
      <c r="F38" s="5"/>
      <c r="G38" s="5">
        <v>1</v>
      </c>
      <c r="H38" s="5">
        <v>1</v>
      </c>
      <c r="I38" s="5">
        <v>1</v>
      </c>
      <c r="J38" s="59"/>
      <c r="K38" s="59"/>
      <c r="L38" s="30">
        <f t="shared" si="15"/>
        <v>70</v>
      </c>
      <c r="M38" s="33">
        <f t="shared" si="1"/>
        <v>100</v>
      </c>
      <c r="N38" s="33">
        <f t="shared" si="2"/>
        <v>135</v>
      </c>
      <c r="O38" s="57">
        <v>15</v>
      </c>
      <c r="P38" s="44">
        <v>1</v>
      </c>
      <c r="Q38" s="5">
        <v>1</v>
      </c>
      <c r="R38" s="5">
        <v>1</v>
      </c>
      <c r="S38" s="5">
        <v>1</v>
      </c>
      <c r="T38" s="5">
        <v>1</v>
      </c>
      <c r="U38" s="48">
        <f t="shared" si="3"/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48">
        <f t="shared" si="4"/>
        <v>1</v>
      </c>
      <c r="AB38" s="44">
        <v>1</v>
      </c>
      <c r="AC38" s="5">
        <v>1</v>
      </c>
      <c r="AD38" s="5">
        <v>1</v>
      </c>
      <c r="AE38" s="5">
        <v>1</v>
      </c>
      <c r="AF38" s="5">
        <v>1</v>
      </c>
      <c r="AG38" s="48">
        <f t="shared" si="5"/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48">
        <f t="shared" si="6"/>
        <v>1</v>
      </c>
      <c r="AN38" s="34">
        <v>1</v>
      </c>
      <c r="AO38" s="5">
        <v>1</v>
      </c>
      <c r="AP38" s="5">
        <v>1</v>
      </c>
      <c r="AQ38" s="5">
        <v>1</v>
      </c>
      <c r="AR38" s="5">
        <v>1</v>
      </c>
      <c r="AS38" s="48">
        <f t="shared" si="7"/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48">
        <f t="shared" si="8"/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48">
        <f t="shared" si="9"/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48">
        <f t="shared" si="10"/>
        <v>1</v>
      </c>
      <c r="BL38" s="55"/>
      <c r="BM38" s="5"/>
      <c r="BN38" s="5"/>
      <c r="BO38" s="5"/>
      <c r="BP38" s="5"/>
      <c r="BQ38" s="5"/>
      <c r="BR38" s="48">
        <f t="shared" si="11"/>
        <v>0</v>
      </c>
      <c r="BS38" s="5"/>
      <c r="BT38" s="5"/>
      <c r="BU38" s="5"/>
      <c r="BV38" s="5"/>
      <c r="BW38" s="5"/>
      <c r="BX38" s="48">
        <f t="shared" si="12"/>
        <v>0</v>
      </c>
      <c r="BY38" s="5"/>
      <c r="BZ38" s="5"/>
      <c r="CA38" s="5"/>
      <c r="CB38" s="5"/>
      <c r="CC38" s="5"/>
      <c r="CD38" s="48">
        <f t="shared" si="13"/>
        <v>0</v>
      </c>
      <c r="CE38" s="5"/>
      <c r="CF38" s="5"/>
      <c r="CG38" s="5"/>
      <c r="CH38" s="5"/>
      <c r="CI38" s="5"/>
      <c r="CJ38" s="48">
        <f t="shared" si="14"/>
        <v>0</v>
      </c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</row>
    <row r="39" spans="1:115" ht="16" x14ac:dyDescent="0.2">
      <c r="A39" s="7" t="s">
        <v>80</v>
      </c>
      <c r="B39" s="7">
        <v>1</v>
      </c>
      <c r="C39" s="14" t="s">
        <v>79</v>
      </c>
      <c r="D39" s="7" t="s">
        <v>76</v>
      </c>
      <c r="E39" s="7"/>
      <c r="F39" s="7"/>
      <c r="G39" s="7">
        <v>1</v>
      </c>
      <c r="H39" s="7">
        <v>1</v>
      </c>
      <c r="I39" s="7">
        <v>1</v>
      </c>
      <c r="J39" s="59"/>
      <c r="K39" s="59"/>
      <c r="L39" s="30">
        <f t="shared" si="15"/>
        <v>29.4</v>
      </c>
      <c r="M39" s="33">
        <f t="shared" si="1"/>
        <v>42</v>
      </c>
      <c r="N39" s="33">
        <f t="shared" si="2"/>
        <v>42</v>
      </c>
      <c r="O39" s="57"/>
      <c r="P39" s="45">
        <v>1</v>
      </c>
      <c r="Q39" s="7">
        <v>1</v>
      </c>
      <c r="R39" s="7">
        <v>1</v>
      </c>
      <c r="S39" s="7">
        <v>0</v>
      </c>
      <c r="T39" s="7">
        <v>0</v>
      </c>
      <c r="U39" s="48">
        <f t="shared" si="3"/>
        <v>0.6</v>
      </c>
      <c r="V39" s="7">
        <v>1</v>
      </c>
      <c r="W39" s="7">
        <v>1</v>
      </c>
      <c r="X39" s="7">
        <v>1</v>
      </c>
      <c r="Y39" s="7">
        <v>0</v>
      </c>
      <c r="Z39" s="7">
        <v>0</v>
      </c>
      <c r="AA39" s="48">
        <f t="shared" si="4"/>
        <v>0.6</v>
      </c>
      <c r="AB39" s="45">
        <v>0.5</v>
      </c>
      <c r="AC39" s="7">
        <v>0.5</v>
      </c>
      <c r="AD39" s="7">
        <v>0</v>
      </c>
      <c r="AE39" s="7">
        <v>0</v>
      </c>
      <c r="AF39" s="7">
        <v>0</v>
      </c>
      <c r="AG39" s="48">
        <f t="shared" si="5"/>
        <v>0.2</v>
      </c>
      <c r="AH39" s="7">
        <v>1</v>
      </c>
      <c r="AI39" s="7">
        <v>1</v>
      </c>
      <c r="AJ39" s="7">
        <v>1</v>
      </c>
      <c r="AK39" s="7">
        <v>0</v>
      </c>
      <c r="AL39" s="7">
        <v>0</v>
      </c>
      <c r="AM39" s="48">
        <f t="shared" si="6"/>
        <v>0.6</v>
      </c>
      <c r="AN39" s="35">
        <v>1</v>
      </c>
      <c r="AO39" s="7">
        <v>1</v>
      </c>
      <c r="AP39" s="7">
        <v>1</v>
      </c>
      <c r="AQ39" s="7">
        <v>0</v>
      </c>
      <c r="AR39" s="7">
        <v>0</v>
      </c>
      <c r="AS39" s="48">
        <f t="shared" si="7"/>
        <v>0.6</v>
      </c>
      <c r="AT39" s="7">
        <v>1</v>
      </c>
      <c r="AU39" s="7">
        <v>1</v>
      </c>
      <c r="AV39" s="7">
        <v>1</v>
      </c>
      <c r="AW39" s="7">
        <v>0</v>
      </c>
      <c r="AX39" s="7">
        <v>0</v>
      </c>
      <c r="AY39" s="48">
        <f t="shared" si="8"/>
        <v>0.6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48">
        <f t="shared" si="9"/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48">
        <f t="shared" si="10"/>
        <v>0</v>
      </c>
      <c r="BL39" s="55"/>
      <c r="BM39" s="7"/>
      <c r="BN39" s="7"/>
      <c r="BO39" s="7"/>
      <c r="BP39" s="7"/>
      <c r="BQ39" s="7"/>
      <c r="BR39" s="48">
        <f t="shared" si="11"/>
        <v>0</v>
      </c>
      <c r="BS39" s="7"/>
      <c r="BT39" s="7"/>
      <c r="BU39" s="7"/>
      <c r="BV39" s="7"/>
      <c r="BW39" s="7"/>
      <c r="BX39" s="48">
        <f t="shared" si="12"/>
        <v>0</v>
      </c>
      <c r="BY39" s="7"/>
      <c r="BZ39" s="7"/>
      <c r="CA39" s="7"/>
      <c r="CB39" s="7"/>
      <c r="CC39" s="7"/>
      <c r="CD39" s="48">
        <f t="shared" si="13"/>
        <v>0</v>
      </c>
      <c r="CE39" s="7"/>
      <c r="CF39" s="7"/>
      <c r="CG39" s="7"/>
      <c r="CH39" s="7"/>
      <c r="CI39" s="7"/>
      <c r="CJ39" s="48">
        <f t="shared" si="14"/>
        <v>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</row>
    <row r="40" spans="1:115" s="103" customFormat="1" ht="16" x14ac:dyDescent="0.2">
      <c r="A40" s="94" t="s">
        <v>78</v>
      </c>
      <c r="B40" s="94">
        <v>1</v>
      </c>
      <c r="C40" s="95" t="s">
        <v>77</v>
      </c>
      <c r="D40" s="94" t="s">
        <v>76</v>
      </c>
      <c r="E40" s="94">
        <v>1</v>
      </c>
      <c r="F40" s="94"/>
      <c r="G40" s="94">
        <v>1</v>
      </c>
      <c r="H40" s="94"/>
      <c r="I40" s="94"/>
      <c r="L40" s="96" t="e">
        <f t="shared" ref="L40:L41" si="16">M40*0.7+K40*0.1+J40*0.2</f>
        <v>#DIV/0!</v>
      </c>
      <c r="M40" s="97" t="e">
        <f t="shared" si="1"/>
        <v>#DIV/0!</v>
      </c>
      <c r="N40" s="97" t="e">
        <f t="shared" ref="N40:N41" si="17">U40*10+AA40*10+AG40*15+AM40*15+AS40*15+AY40*15+BE40*20+BK40*20+O40</f>
        <v>#DIV/0!</v>
      </c>
      <c r="O40" s="98">
        <v>15</v>
      </c>
      <c r="P40" s="99"/>
      <c r="Q40" s="94"/>
      <c r="R40" s="94"/>
      <c r="S40" s="94"/>
      <c r="T40" s="94"/>
      <c r="U40" s="100" t="e">
        <f t="shared" ref="U40:U41" si="18">AVERAGE(P40:T40)</f>
        <v>#DIV/0!</v>
      </c>
      <c r="V40" s="94"/>
      <c r="W40" s="94"/>
      <c r="X40" s="94"/>
      <c r="Y40" s="94"/>
      <c r="Z40" s="94"/>
      <c r="AA40" s="100" t="e">
        <f t="shared" ref="AA40:AA41" si="19">AVERAGE(V40:Z40)</f>
        <v>#DIV/0!</v>
      </c>
      <c r="AB40" s="99"/>
      <c r="AC40" s="94"/>
      <c r="AD40" s="94"/>
      <c r="AE40" s="94"/>
      <c r="AF40" s="94"/>
      <c r="AG40" s="100" t="e">
        <f t="shared" ref="AG40:AG41" si="20">AVERAGE(AB40:AF40)</f>
        <v>#DIV/0!</v>
      </c>
      <c r="AH40" s="94"/>
      <c r="AI40" s="94"/>
      <c r="AJ40" s="94"/>
      <c r="AK40" s="94"/>
      <c r="AL40" s="94"/>
      <c r="AM40" s="100" t="e">
        <f t="shared" ref="AM40:AM41" si="21">AVERAGE(AH40:AL40)</f>
        <v>#DIV/0!</v>
      </c>
      <c r="AN40" s="101"/>
      <c r="AO40" s="94"/>
      <c r="AP40" s="94"/>
      <c r="AQ40" s="94"/>
      <c r="AR40" s="94"/>
      <c r="AS40" s="100" t="e">
        <f t="shared" ref="AS40:AS41" si="22">AVERAGE(AN40:AR40)</f>
        <v>#DIV/0!</v>
      </c>
      <c r="AT40" s="94"/>
      <c r="AU40" s="94"/>
      <c r="AV40" s="94"/>
      <c r="AW40" s="94"/>
      <c r="AX40" s="94"/>
      <c r="AY40" s="100" t="e">
        <f t="shared" ref="AY40:AY41" si="23">AVERAGE(AT40:AX40)</f>
        <v>#DIV/0!</v>
      </c>
      <c r="AZ40" s="94"/>
      <c r="BA40" s="94"/>
      <c r="BB40" s="94"/>
      <c r="BC40" s="94"/>
      <c r="BD40" s="94"/>
      <c r="BE40" s="100" t="e">
        <f t="shared" ref="BE40:BE41" si="24">AVERAGE(AZ40:BD40)</f>
        <v>#DIV/0!</v>
      </c>
      <c r="BF40" s="94"/>
      <c r="BG40" s="94"/>
      <c r="BH40" s="94"/>
      <c r="BI40" s="94"/>
      <c r="BJ40" s="94"/>
      <c r="BK40" s="100" t="e">
        <f t="shared" ref="BK40:BK41" si="25">AVERAGE(BF40:BJ40)</f>
        <v>#DIV/0!</v>
      </c>
      <c r="BL40" s="102"/>
      <c r="BM40" s="94"/>
      <c r="BN40" s="94"/>
      <c r="BO40" s="94"/>
      <c r="BP40" s="94"/>
      <c r="BQ40" s="94"/>
      <c r="BR40" s="100">
        <f t="shared" ref="BR40:BR41" si="26">SUM(BM40:BQ40)/5</f>
        <v>0</v>
      </c>
      <c r="BS40" s="94"/>
      <c r="BT40" s="94"/>
      <c r="BU40" s="94"/>
      <c r="BV40" s="94"/>
      <c r="BW40" s="94"/>
      <c r="BX40" s="100">
        <f t="shared" ref="BX40:BX41" si="27">SUM(BS40:BW40)/5</f>
        <v>0</v>
      </c>
      <c r="BY40" s="94"/>
      <c r="BZ40" s="94"/>
      <c r="CA40" s="94"/>
      <c r="CB40" s="94"/>
      <c r="CC40" s="94"/>
      <c r="CD40" s="100">
        <f t="shared" ref="CD40:CD41" si="28">SUM(BY40:CC40)/5</f>
        <v>0</v>
      </c>
      <c r="CE40" s="94"/>
      <c r="CF40" s="94"/>
      <c r="CG40" s="94"/>
      <c r="CH40" s="94"/>
      <c r="CI40" s="94"/>
      <c r="CJ40" s="100">
        <f t="shared" ref="CJ40:CJ41" si="29">SUM(CE40:CI40)/5</f>
        <v>0</v>
      </c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</row>
    <row r="41" spans="1:115" ht="16" x14ac:dyDescent="0.2">
      <c r="C41" s="15" t="s">
        <v>882</v>
      </c>
      <c r="L41" s="30">
        <f t="shared" si="16"/>
        <v>48.019999999999996</v>
      </c>
      <c r="M41" s="33">
        <f>N41</f>
        <v>68.599999999999994</v>
      </c>
      <c r="N41" s="33">
        <f t="shared" si="17"/>
        <v>68.599999999999994</v>
      </c>
      <c r="O41" s="57"/>
      <c r="P41" s="45">
        <v>1</v>
      </c>
      <c r="Q41" s="7">
        <v>1</v>
      </c>
      <c r="R41" s="7">
        <v>1</v>
      </c>
      <c r="S41" s="7">
        <v>1</v>
      </c>
      <c r="T41" s="7">
        <v>1</v>
      </c>
      <c r="U41" s="48">
        <f t="shared" si="18"/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48">
        <f t="shared" si="19"/>
        <v>1</v>
      </c>
      <c r="AB41" s="45">
        <v>1</v>
      </c>
      <c r="AC41" s="7">
        <v>1</v>
      </c>
      <c r="AD41" s="7">
        <v>1</v>
      </c>
      <c r="AE41" s="7">
        <v>1</v>
      </c>
      <c r="AF41" s="7">
        <v>1</v>
      </c>
      <c r="AG41" s="48">
        <f t="shared" si="20"/>
        <v>1</v>
      </c>
      <c r="AH41" s="7">
        <v>1</v>
      </c>
      <c r="AI41" s="7">
        <v>0.8</v>
      </c>
      <c r="AJ41" s="7">
        <v>0.8</v>
      </c>
      <c r="AK41" s="7">
        <v>0.8</v>
      </c>
      <c r="AL41" s="7">
        <v>0.8</v>
      </c>
      <c r="AM41" s="48">
        <f t="shared" si="21"/>
        <v>0.84000000000000008</v>
      </c>
      <c r="AN41" s="35">
        <v>1</v>
      </c>
      <c r="AO41" s="7">
        <v>1</v>
      </c>
      <c r="AP41" s="7">
        <v>1</v>
      </c>
      <c r="AQ41" s="7">
        <v>1</v>
      </c>
      <c r="AR41" s="7">
        <v>1</v>
      </c>
      <c r="AS41" s="48">
        <f t="shared" si="22"/>
        <v>1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48">
        <f t="shared" si="23"/>
        <v>0</v>
      </c>
      <c r="AZ41" s="7">
        <v>0.5</v>
      </c>
      <c r="BA41" s="7">
        <v>0</v>
      </c>
      <c r="BB41" s="7">
        <v>0</v>
      </c>
      <c r="BC41" s="7">
        <v>0</v>
      </c>
      <c r="BD41" s="7">
        <v>0</v>
      </c>
      <c r="BE41" s="48">
        <f t="shared" si="24"/>
        <v>0.1</v>
      </c>
      <c r="BF41" s="7">
        <v>0.5</v>
      </c>
      <c r="BG41" s="7">
        <v>0.5</v>
      </c>
      <c r="BH41" s="7">
        <v>0</v>
      </c>
      <c r="BI41" s="7">
        <v>0</v>
      </c>
      <c r="BJ41" s="7">
        <v>0</v>
      </c>
      <c r="BK41" s="48">
        <f t="shared" si="25"/>
        <v>0.2</v>
      </c>
      <c r="BL41" s="55"/>
      <c r="BM41" s="7"/>
      <c r="BN41" s="7"/>
      <c r="BO41" s="7"/>
      <c r="BP41" s="7"/>
      <c r="BQ41" s="7"/>
      <c r="BR41" s="48">
        <f t="shared" si="26"/>
        <v>0</v>
      </c>
      <c r="BS41" s="7"/>
      <c r="BT41" s="7"/>
      <c r="BU41" s="7"/>
      <c r="BV41" s="7"/>
      <c r="BW41" s="7"/>
      <c r="BX41" s="48">
        <f t="shared" si="27"/>
        <v>0</v>
      </c>
      <c r="BY41" s="7"/>
      <c r="BZ41" s="7"/>
      <c r="CA41" s="7"/>
      <c r="CB41" s="7"/>
      <c r="CC41" s="7"/>
      <c r="CD41" s="48">
        <f t="shared" si="28"/>
        <v>0</v>
      </c>
      <c r="CE41" s="7"/>
      <c r="CF41" s="7"/>
      <c r="CG41" s="7"/>
      <c r="CH41" s="7"/>
      <c r="CI41" s="7"/>
      <c r="CJ41" s="48">
        <f t="shared" si="29"/>
        <v>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1:AP38"/>
  <sheetViews>
    <sheetView workbookViewId="0">
      <pane ySplit="2" topLeftCell="A3" activePane="bottomLeft" state="frozen"/>
      <selection pane="bottomLeft" activeCell="A2" sqref="A2:XFD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1.1640625" style="15" bestFit="1" customWidth="1"/>
    <col min="4" max="4" width="8.33203125" style="4" bestFit="1" customWidth="1"/>
    <col min="5" max="5" width="36.5" style="4" hidden="1" customWidth="1"/>
    <col min="6" max="6" width="42.5" style="4" hidden="1" customWidth="1"/>
    <col min="7" max="16384" width="8.83203125" style="4"/>
  </cols>
  <sheetData>
    <row r="1" spans="1:42" x14ac:dyDescent="0.2">
      <c r="A1" s="23" t="s">
        <v>853</v>
      </c>
      <c r="C1" s="4" t="s">
        <v>445</v>
      </c>
    </row>
    <row r="2" spans="1:42" x14ac:dyDescent="0.2">
      <c r="A2" s="9" t="s">
        <v>5</v>
      </c>
      <c r="B2" s="9" t="s">
        <v>6</v>
      </c>
      <c r="C2" s="12" t="s">
        <v>7</v>
      </c>
      <c r="D2" s="9" t="s">
        <v>854</v>
      </c>
      <c r="E2" s="9" t="s">
        <v>9</v>
      </c>
      <c r="F2" s="9" t="s">
        <v>10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</row>
    <row r="3" spans="1:42" x14ac:dyDescent="0.2">
      <c r="A3" s="5" t="s">
        <v>444</v>
      </c>
      <c r="B3" s="5">
        <v>1</v>
      </c>
      <c r="C3" s="13" t="s">
        <v>443</v>
      </c>
      <c r="D3" s="5" t="s">
        <v>158</v>
      </c>
      <c r="E3" s="6" t="s">
        <v>442</v>
      </c>
      <c r="F3" s="5" t="s">
        <v>441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">
      <c r="A4" s="7" t="s">
        <v>440</v>
      </c>
      <c r="B4" s="7">
        <v>1</v>
      </c>
      <c r="C4" s="14" t="s">
        <v>439</v>
      </c>
      <c r="D4" s="7" t="s">
        <v>158</v>
      </c>
      <c r="E4" s="8" t="s">
        <v>438</v>
      </c>
      <c r="F4" s="7" t="s">
        <v>437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">
      <c r="A5" s="5" t="s">
        <v>436</v>
      </c>
      <c r="B5" s="5">
        <v>1</v>
      </c>
      <c r="C5" s="13" t="s">
        <v>435</v>
      </c>
      <c r="D5" s="5" t="s">
        <v>158</v>
      </c>
      <c r="E5" s="6" t="s">
        <v>434</v>
      </c>
      <c r="F5" s="5" t="s">
        <v>433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">
      <c r="A6" s="7" t="s">
        <v>432</v>
      </c>
      <c r="B6" s="7">
        <v>1</v>
      </c>
      <c r="C6" s="14" t="s">
        <v>431</v>
      </c>
      <c r="D6" s="7" t="s">
        <v>158</v>
      </c>
      <c r="E6" s="8" t="s">
        <v>430</v>
      </c>
      <c r="F6" s="7" t="s">
        <v>429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">
      <c r="A7" s="5" t="s">
        <v>428</v>
      </c>
      <c r="B7" s="5">
        <v>1</v>
      </c>
      <c r="C7" s="13" t="s">
        <v>427</v>
      </c>
      <c r="D7" s="5" t="s">
        <v>158</v>
      </c>
      <c r="E7" s="6" t="s">
        <v>426</v>
      </c>
      <c r="F7" s="5" t="s">
        <v>425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x14ac:dyDescent="0.2">
      <c r="A8" s="7" t="s">
        <v>424</v>
      </c>
      <c r="B8" s="7">
        <v>1</v>
      </c>
      <c r="C8" s="14" t="s">
        <v>423</v>
      </c>
      <c r="D8" s="7" t="s">
        <v>158</v>
      </c>
      <c r="E8" s="8" t="s">
        <v>422</v>
      </c>
      <c r="F8" s="7" t="s">
        <v>421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">
      <c r="A9" s="5" t="s">
        <v>420</v>
      </c>
      <c r="B9" s="5">
        <v>1</v>
      </c>
      <c r="C9" s="13" t="s">
        <v>419</v>
      </c>
      <c r="D9" s="5" t="s">
        <v>158</v>
      </c>
      <c r="E9" s="6" t="s">
        <v>418</v>
      </c>
      <c r="F9" s="5" t="s">
        <v>417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x14ac:dyDescent="0.2">
      <c r="A10" s="7" t="s">
        <v>416</v>
      </c>
      <c r="B10" s="7">
        <v>1</v>
      </c>
      <c r="C10" s="14" t="s">
        <v>415</v>
      </c>
      <c r="D10" s="7" t="s">
        <v>158</v>
      </c>
      <c r="E10" s="8" t="s">
        <v>414</v>
      </c>
      <c r="F10" s="7" t="s">
        <v>413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5" t="s">
        <v>412</v>
      </c>
      <c r="B11" s="5">
        <v>1</v>
      </c>
      <c r="C11" s="13" t="s">
        <v>411</v>
      </c>
      <c r="D11" s="5" t="s">
        <v>158</v>
      </c>
      <c r="E11" s="6" t="s">
        <v>410</v>
      </c>
      <c r="F11" s="5" t="s">
        <v>409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x14ac:dyDescent="0.2">
      <c r="A12" s="7" t="s">
        <v>408</v>
      </c>
      <c r="B12" s="7">
        <v>1</v>
      </c>
      <c r="C12" s="14" t="s">
        <v>407</v>
      </c>
      <c r="D12" s="7" t="s">
        <v>158</v>
      </c>
      <c r="E12" s="8" t="s">
        <v>406</v>
      </c>
      <c r="F12" s="7" t="s">
        <v>405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5" t="s">
        <v>404</v>
      </c>
      <c r="B13" s="5">
        <v>1</v>
      </c>
      <c r="C13" s="13" t="s">
        <v>403</v>
      </c>
      <c r="D13" s="5" t="s">
        <v>158</v>
      </c>
      <c r="E13" s="6" t="s">
        <v>402</v>
      </c>
      <c r="F13" s="5" t="s">
        <v>401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2">
      <c r="A14" s="7" t="s">
        <v>400</v>
      </c>
      <c r="B14" s="7">
        <v>1</v>
      </c>
      <c r="C14" s="14" t="s">
        <v>399</v>
      </c>
      <c r="D14" s="7" t="s">
        <v>158</v>
      </c>
      <c r="E14" s="8" t="s">
        <v>398</v>
      </c>
      <c r="F14" s="7" t="s">
        <v>397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5" t="s">
        <v>396</v>
      </c>
      <c r="B15" s="5">
        <v>1</v>
      </c>
      <c r="C15" s="13" t="s">
        <v>395</v>
      </c>
      <c r="D15" s="5" t="s">
        <v>158</v>
      </c>
      <c r="E15" s="6" t="s">
        <v>394</v>
      </c>
      <c r="F15" s="5" t="s">
        <v>393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x14ac:dyDescent="0.2">
      <c r="A16" s="7" t="s">
        <v>392</v>
      </c>
      <c r="B16" s="7">
        <v>1</v>
      </c>
      <c r="C16" s="14" t="s">
        <v>391</v>
      </c>
      <c r="D16" s="7" t="s">
        <v>158</v>
      </c>
      <c r="E16" s="8" t="s">
        <v>390</v>
      </c>
      <c r="F16" s="7" t="s">
        <v>389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5" t="s">
        <v>388</v>
      </c>
      <c r="B17" s="5">
        <v>1</v>
      </c>
      <c r="C17" s="13" t="s">
        <v>387</v>
      </c>
      <c r="D17" s="5" t="s">
        <v>158</v>
      </c>
      <c r="E17" s="6" t="s">
        <v>386</v>
      </c>
      <c r="F17" s="5" t="s">
        <v>385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x14ac:dyDescent="0.2">
      <c r="A18" s="7" t="s">
        <v>384</v>
      </c>
      <c r="B18" s="7">
        <v>1</v>
      </c>
      <c r="C18" s="14" t="s">
        <v>383</v>
      </c>
      <c r="D18" s="7" t="s">
        <v>158</v>
      </c>
      <c r="E18" s="8" t="s">
        <v>382</v>
      </c>
      <c r="F18" s="7" t="s">
        <v>381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5" t="s">
        <v>380</v>
      </c>
      <c r="B19" s="5">
        <v>1</v>
      </c>
      <c r="C19" s="13" t="s">
        <v>379</v>
      </c>
      <c r="D19" s="5" t="s">
        <v>158</v>
      </c>
      <c r="E19" s="6" t="s">
        <v>378</v>
      </c>
      <c r="F19" s="5" t="s">
        <v>377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x14ac:dyDescent="0.2">
      <c r="A20" s="7" t="s">
        <v>376</v>
      </c>
      <c r="B20" s="7">
        <v>1</v>
      </c>
      <c r="C20" s="14" t="s">
        <v>375</v>
      </c>
      <c r="D20" s="7" t="s">
        <v>158</v>
      </c>
      <c r="E20" s="8" t="s">
        <v>374</v>
      </c>
      <c r="F20" s="7" t="s">
        <v>373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5" t="s">
        <v>372</v>
      </c>
      <c r="B21" s="5">
        <v>1</v>
      </c>
      <c r="C21" s="13" t="s">
        <v>371</v>
      </c>
      <c r="D21" s="5" t="s">
        <v>158</v>
      </c>
      <c r="E21" s="6" t="s">
        <v>370</v>
      </c>
      <c r="F21" s="5" t="s">
        <v>369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x14ac:dyDescent="0.2">
      <c r="A22" s="7" t="s">
        <v>368</v>
      </c>
      <c r="B22" s="7">
        <v>1</v>
      </c>
      <c r="C22" s="14" t="s">
        <v>367</v>
      </c>
      <c r="D22" s="7" t="s">
        <v>158</v>
      </c>
      <c r="E22" s="8" t="s">
        <v>366</v>
      </c>
      <c r="F22" s="7" t="s">
        <v>365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5" t="s">
        <v>364</v>
      </c>
      <c r="B23" s="5">
        <v>1</v>
      </c>
      <c r="C23" s="13" t="s">
        <v>363</v>
      </c>
      <c r="D23" s="5" t="s">
        <v>158</v>
      </c>
      <c r="E23" s="6" t="s">
        <v>362</v>
      </c>
      <c r="F23" s="5" t="s">
        <v>361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x14ac:dyDescent="0.2">
      <c r="A24" s="7" t="s">
        <v>360</v>
      </c>
      <c r="B24" s="7">
        <v>1</v>
      </c>
      <c r="C24" s="14" t="s">
        <v>359</v>
      </c>
      <c r="D24" s="7" t="s">
        <v>158</v>
      </c>
      <c r="E24" s="8" t="s">
        <v>358</v>
      </c>
      <c r="F24" s="7" t="s">
        <v>357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5" t="s">
        <v>356</v>
      </c>
      <c r="B25" s="5">
        <v>1</v>
      </c>
      <c r="C25" s="13" t="s">
        <v>355</v>
      </c>
      <c r="D25" s="5" t="s">
        <v>158</v>
      </c>
      <c r="E25" s="6" t="s">
        <v>354</v>
      </c>
      <c r="F25" s="5" t="s">
        <v>353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x14ac:dyDescent="0.2">
      <c r="A26" s="7" t="s">
        <v>352</v>
      </c>
      <c r="B26" s="7">
        <v>1</v>
      </c>
      <c r="C26" s="14" t="s">
        <v>351</v>
      </c>
      <c r="D26" s="7" t="s">
        <v>158</v>
      </c>
      <c r="E26" s="8" t="s">
        <v>350</v>
      </c>
      <c r="F26" s="7" t="s">
        <v>349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5" t="s">
        <v>348</v>
      </c>
      <c r="B27" s="5">
        <v>1</v>
      </c>
      <c r="C27" s="13" t="s">
        <v>347</v>
      </c>
      <c r="D27" s="5" t="s">
        <v>158</v>
      </c>
      <c r="E27" s="6" t="s">
        <v>346</v>
      </c>
      <c r="F27" s="5" t="s">
        <v>345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x14ac:dyDescent="0.2">
      <c r="A28" s="7" t="s">
        <v>344</v>
      </c>
      <c r="B28" s="7">
        <v>1</v>
      </c>
      <c r="C28" s="14" t="s">
        <v>343</v>
      </c>
      <c r="D28" s="7" t="s">
        <v>158</v>
      </c>
      <c r="E28" s="8" t="s">
        <v>342</v>
      </c>
      <c r="F28" s="7" t="s">
        <v>341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5" t="s">
        <v>340</v>
      </c>
      <c r="B29" s="5">
        <v>1</v>
      </c>
      <c r="C29" s="13" t="s">
        <v>339</v>
      </c>
      <c r="D29" s="5" t="s">
        <v>158</v>
      </c>
      <c r="E29" s="6" t="s">
        <v>338</v>
      </c>
      <c r="F29" s="5" t="s">
        <v>337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x14ac:dyDescent="0.2">
      <c r="A30" s="7" t="s">
        <v>336</v>
      </c>
      <c r="B30" s="7">
        <v>1</v>
      </c>
      <c r="C30" s="14" t="s">
        <v>335</v>
      </c>
      <c r="D30" s="7" t="s">
        <v>158</v>
      </c>
      <c r="E30" s="8" t="s">
        <v>334</v>
      </c>
      <c r="F30" s="7" t="s">
        <v>333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5" t="s">
        <v>332</v>
      </c>
      <c r="B31" s="5">
        <v>1</v>
      </c>
      <c r="C31" s="13" t="s">
        <v>331</v>
      </c>
      <c r="D31" s="5" t="s">
        <v>158</v>
      </c>
      <c r="E31" s="6" t="s">
        <v>330</v>
      </c>
      <c r="F31" s="5" t="s">
        <v>329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x14ac:dyDescent="0.2">
      <c r="A32" s="7" t="s">
        <v>328</v>
      </c>
      <c r="B32" s="7">
        <v>1</v>
      </c>
      <c r="C32" s="14" t="s">
        <v>327</v>
      </c>
      <c r="D32" s="7" t="s">
        <v>158</v>
      </c>
      <c r="E32" s="8" t="s">
        <v>326</v>
      </c>
      <c r="F32" s="7" t="s">
        <v>325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5" t="s">
        <v>324</v>
      </c>
      <c r="B33" s="5">
        <v>1</v>
      </c>
      <c r="C33" s="13" t="s">
        <v>323</v>
      </c>
      <c r="D33" s="5" t="s">
        <v>158</v>
      </c>
      <c r="E33" s="6" t="s">
        <v>322</v>
      </c>
      <c r="F33" s="5" t="s">
        <v>321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x14ac:dyDescent="0.2">
      <c r="A34" s="7" t="s">
        <v>320</v>
      </c>
      <c r="B34" s="7">
        <v>1</v>
      </c>
      <c r="C34" s="14" t="s">
        <v>319</v>
      </c>
      <c r="D34" s="7" t="s">
        <v>158</v>
      </c>
      <c r="E34" s="8" t="s">
        <v>318</v>
      </c>
      <c r="F34" s="7" t="s">
        <v>317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5" t="s">
        <v>316</v>
      </c>
      <c r="B35" s="5">
        <v>1</v>
      </c>
      <c r="C35" s="13" t="s">
        <v>315</v>
      </c>
      <c r="D35" s="5" t="s">
        <v>158</v>
      </c>
      <c r="E35" s="6" t="s">
        <v>314</v>
      </c>
      <c r="F35" s="5" t="s">
        <v>313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x14ac:dyDescent="0.2">
      <c r="A36" s="7" t="s">
        <v>312</v>
      </c>
      <c r="B36" s="7">
        <v>1</v>
      </c>
      <c r="C36" s="14" t="s">
        <v>311</v>
      </c>
      <c r="D36" s="7" t="s">
        <v>158</v>
      </c>
      <c r="E36" s="8" t="s">
        <v>310</v>
      </c>
      <c r="F36" s="7" t="s">
        <v>309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5" t="s">
        <v>308</v>
      </c>
      <c r="B37" s="5">
        <v>1</v>
      </c>
      <c r="C37" s="13" t="s">
        <v>307</v>
      </c>
      <c r="D37" s="5" t="s">
        <v>158</v>
      </c>
      <c r="E37" s="6" t="s">
        <v>306</v>
      </c>
      <c r="F37" s="5" t="s">
        <v>305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x14ac:dyDescent="0.2">
      <c r="A38" s="7" t="s">
        <v>304</v>
      </c>
      <c r="B38" s="7">
        <v>1</v>
      </c>
      <c r="C38" s="14" t="s">
        <v>303</v>
      </c>
      <c r="D38" s="7" t="s">
        <v>158</v>
      </c>
      <c r="E38" s="8" t="s">
        <v>302</v>
      </c>
      <c r="F38" s="7" t="s">
        <v>301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1:DM26"/>
  <sheetViews>
    <sheetView topLeftCell="C1" zoomScale="133" workbookViewId="0">
      <pane xSplit="12" ySplit="14" topLeftCell="O15" activePane="bottomRight" state="frozen"/>
      <selection activeCell="C1" sqref="C1"/>
      <selection pane="topRight" activeCell="O1" sqref="O1"/>
      <selection pane="bottomLeft" activeCell="C15" sqref="C15"/>
      <selection pane="bottomRight" activeCell="C26" sqref="C26"/>
    </sheetView>
  </sheetViews>
  <sheetFormatPr baseColWidth="10" defaultColWidth="8.83203125" defaultRowHeight="15" x14ac:dyDescent="0.2"/>
  <cols>
    <col min="1" max="1" width="9.83203125" style="4" hidden="1" customWidth="1"/>
    <col min="2" max="2" width="4.5" style="4" hidden="1" customWidth="1"/>
    <col min="3" max="3" width="35.6640625" style="15" bestFit="1" customWidth="1"/>
    <col min="4" max="4" width="11.5" style="4" hidden="1" customWidth="1"/>
    <col min="5" max="10" width="0" style="4" hidden="1" customWidth="1"/>
    <col min="11" max="11" width="10" style="4" bestFit="1" customWidth="1"/>
    <col min="12" max="12" width="8" style="4" bestFit="1" customWidth="1"/>
    <col min="13" max="13" width="8.33203125" style="4" bestFit="1" customWidth="1"/>
    <col min="14" max="14" width="10.1640625" style="4" bestFit="1" customWidth="1"/>
    <col min="15" max="15" width="12.5" style="4" customWidth="1"/>
    <col min="16" max="16" width="10.83203125" style="4" bestFit="1" customWidth="1"/>
    <col min="17" max="17" width="8.83203125" style="4"/>
    <col min="18" max="18" width="6.6640625" style="4" bestFit="1" customWidth="1"/>
    <col min="19" max="19" width="8.6640625" style="4" bestFit="1" customWidth="1"/>
    <col min="20" max="20" width="7.33203125" style="4" bestFit="1" customWidth="1"/>
    <col min="21" max="21" width="12.83203125" style="4" bestFit="1" customWidth="1"/>
    <col min="22" max="22" width="10.83203125" style="4" bestFit="1" customWidth="1"/>
    <col min="23" max="23" width="8.83203125" style="4" bestFit="1" customWidth="1"/>
    <col min="24" max="24" width="6.6640625" style="4" bestFit="1" customWidth="1"/>
    <col min="25" max="25" width="8.6640625" style="4" bestFit="1" customWidth="1"/>
    <col min="26" max="26" width="7.33203125" style="4" bestFit="1" customWidth="1"/>
    <col min="27" max="27" width="12.83203125" style="4" bestFit="1" customWidth="1"/>
    <col min="28" max="28" width="10.83203125" style="4" bestFit="1" customWidth="1"/>
    <col min="29" max="29" width="8.83203125" style="4" bestFit="1" customWidth="1"/>
    <col min="30" max="30" width="6.6640625" style="4" bestFit="1" customWidth="1"/>
    <col min="31" max="31" width="8.6640625" style="4" bestFit="1" customWidth="1"/>
    <col min="32" max="32" width="7.33203125" style="4" bestFit="1" customWidth="1"/>
    <col min="33" max="33" width="12.83203125" style="4" bestFit="1" customWidth="1"/>
    <col min="34" max="34" width="10.83203125" style="4" bestFit="1" customWidth="1"/>
    <col min="35" max="35" width="8.83203125" style="4" bestFit="1" customWidth="1"/>
    <col min="36" max="36" width="6.6640625" style="4" bestFit="1" customWidth="1"/>
    <col min="37" max="37" width="8.6640625" style="4" bestFit="1" customWidth="1"/>
    <col min="38" max="38" width="7.33203125" style="4" bestFit="1" customWidth="1"/>
    <col min="39" max="39" width="12.83203125" style="4" bestFit="1" customWidth="1"/>
    <col min="40" max="40" width="10.83203125" style="4" bestFit="1" customWidth="1"/>
    <col min="41" max="41" width="8.83203125" style="4" bestFit="1" customWidth="1"/>
    <col min="42" max="42" width="6.6640625" style="4" bestFit="1" customWidth="1"/>
    <col min="43" max="43" width="8.6640625" style="4" bestFit="1" customWidth="1"/>
    <col min="44" max="44" width="7.33203125" style="4" bestFit="1" customWidth="1"/>
    <col min="45" max="45" width="12.83203125" style="4" bestFit="1" customWidth="1"/>
    <col min="46" max="46" width="10.83203125" style="4" bestFit="1" customWidth="1"/>
    <col min="47" max="47" width="8.83203125" style="4" bestFit="1" customWidth="1"/>
    <col min="48" max="48" width="6.6640625" style="4" bestFit="1" customWidth="1"/>
    <col min="49" max="49" width="8.6640625" style="4" bestFit="1" customWidth="1"/>
    <col min="50" max="50" width="7.33203125" style="4" bestFit="1" customWidth="1"/>
    <col min="51" max="51" width="12.83203125" style="4" bestFit="1" customWidth="1"/>
    <col min="52" max="52" width="10.83203125" style="4" bestFit="1" customWidth="1"/>
    <col min="53" max="53" width="8.83203125" style="4" bestFit="1" customWidth="1"/>
    <col min="54" max="54" width="6.6640625" style="4" bestFit="1" customWidth="1"/>
    <col min="55" max="55" width="8.6640625" style="4" bestFit="1" customWidth="1"/>
    <col min="56" max="56" width="7.33203125" style="4" bestFit="1" customWidth="1"/>
    <col min="57" max="57" width="12.83203125" style="4" bestFit="1" customWidth="1"/>
    <col min="58" max="58" width="10.83203125" style="4" bestFit="1" customWidth="1"/>
    <col min="59" max="59" width="8.83203125" style="4" bestFit="1" customWidth="1"/>
    <col min="60" max="60" width="6.6640625" style="4" bestFit="1" customWidth="1"/>
    <col min="61" max="61" width="8.6640625" style="4" bestFit="1" customWidth="1"/>
    <col min="62" max="62" width="7.33203125" style="4" bestFit="1" customWidth="1"/>
    <col min="63" max="63" width="3.33203125" style="4" bestFit="1" customWidth="1"/>
    <col min="64" max="64" width="12.5" style="4" customWidth="1"/>
    <col min="65" max="65" width="10.83203125" style="4" bestFit="1" customWidth="1"/>
    <col min="66" max="66" width="9" style="4" bestFit="1" customWidth="1"/>
    <col min="67" max="69" width="8.83203125" style="4"/>
    <col min="70" max="70" width="12.5" style="4" customWidth="1"/>
    <col min="71" max="71" width="10.83203125" style="4" bestFit="1" customWidth="1"/>
    <col min="72" max="72" width="9" style="4" bestFit="1" customWidth="1"/>
    <col min="73" max="75" width="8.83203125" style="4"/>
    <col min="76" max="76" width="12.5" style="4" customWidth="1"/>
    <col min="77" max="77" width="10.83203125" style="4" bestFit="1" customWidth="1"/>
    <col min="78" max="78" width="9" style="4" bestFit="1" customWidth="1"/>
    <col min="79" max="81" width="8.83203125" style="4"/>
    <col min="82" max="82" width="12.5" style="4" customWidth="1"/>
    <col min="83" max="83" width="10.83203125" style="4" bestFit="1" customWidth="1"/>
    <col min="84" max="84" width="10.83203125" style="4" customWidth="1"/>
    <col min="85" max="16384" width="8.83203125" style="4"/>
  </cols>
  <sheetData>
    <row r="1" spans="1:117" ht="17" customHeight="1" thickBot="1" x14ac:dyDescent="0.25">
      <c r="O1" s="60" t="s">
        <v>858</v>
      </c>
      <c r="P1" s="92"/>
      <c r="Q1" s="92"/>
      <c r="R1" s="92"/>
      <c r="S1" s="92"/>
      <c r="T1" s="93"/>
      <c r="U1" s="89"/>
      <c r="V1" s="90"/>
      <c r="W1" s="90"/>
      <c r="X1" s="90"/>
      <c r="Y1" s="90"/>
      <c r="Z1" s="91"/>
      <c r="AA1" s="89"/>
      <c r="AB1" s="90"/>
      <c r="AC1" s="90"/>
      <c r="AD1" s="90"/>
      <c r="AE1" s="90"/>
      <c r="AF1" s="91"/>
      <c r="AG1" s="89"/>
      <c r="AH1" s="90"/>
      <c r="AI1" s="90"/>
      <c r="AJ1" s="90"/>
      <c r="AK1" s="90"/>
      <c r="AL1" s="91"/>
      <c r="AM1" s="89"/>
      <c r="AN1" s="90"/>
      <c r="AO1" s="90"/>
      <c r="AP1" s="90"/>
      <c r="AQ1" s="90"/>
      <c r="AR1" s="91"/>
      <c r="AS1" s="89"/>
      <c r="AT1" s="90"/>
      <c r="AU1" s="90"/>
      <c r="AV1" s="90"/>
      <c r="AW1" s="90"/>
      <c r="AX1" s="91"/>
      <c r="AY1" s="89"/>
      <c r="AZ1" s="90"/>
      <c r="BA1" s="90"/>
      <c r="BB1" s="90"/>
      <c r="BC1" s="90"/>
      <c r="BD1" s="91"/>
      <c r="BE1" s="89"/>
      <c r="BF1" s="90"/>
      <c r="BG1" s="90"/>
      <c r="BH1" s="90"/>
      <c r="BI1" s="90"/>
      <c r="BJ1" s="91"/>
      <c r="BK1" s="49" t="s">
        <v>876</v>
      </c>
      <c r="BO1" s="25"/>
      <c r="BP1" s="25"/>
      <c r="BQ1" s="9"/>
      <c r="BU1" s="25"/>
      <c r="BV1" s="25"/>
      <c r="BW1" s="9"/>
      <c r="CA1" s="25"/>
      <c r="CB1" s="25"/>
      <c r="CC1" s="9"/>
      <c r="CG1" s="25"/>
      <c r="CH1" s="25"/>
      <c r="CI1" s="9"/>
    </row>
    <row r="2" spans="1:117" ht="16" customHeight="1" x14ac:dyDescent="0.2">
      <c r="A2" s="23" t="s">
        <v>856</v>
      </c>
      <c r="C2" s="15" t="s">
        <v>2</v>
      </c>
      <c r="K2" s="9"/>
      <c r="L2" s="52"/>
      <c r="M2" s="31" t="s">
        <v>865</v>
      </c>
      <c r="N2" s="36"/>
      <c r="O2" s="72" t="s">
        <v>866</v>
      </c>
      <c r="P2" s="73"/>
      <c r="Q2" s="73"/>
      <c r="R2" s="73"/>
      <c r="S2" s="73"/>
      <c r="T2" s="74"/>
      <c r="U2" s="75" t="s">
        <v>867</v>
      </c>
      <c r="V2" s="73"/>
      <c r="W2" s="73"/>
      <c r="X2" s="73"/>
      <c r="Y2" s="73"/>
      <c r="Z2" s="76"/>
      <c r="AA2" s="72" t="s">
        <v>868</v>
      </c>
      <c r="AB2" s="73"/>
      <c r="AC2" s="73"/>
      <c r="AD2" s="73"/>
      <c r="AE2" s="73"/>
      <c r="AF2" s="74"/>
      <c r="AG2" s="75" t="s">
        <v>869</v>
      </c>
      <c r="AH2" s="73"/>
      <c r="AI2" s="73"/>
      <c r="AJ2" s="73"/>
      <c r="AK2" s="73"/>
      <c r="AL2" s="76"/>
      <c r="AM2" s="72" t="s">
        <v>872</v>
      </c>
      <c r="AN2" s="73"/>
      <c r="AO2" s="73"/>
      <c r="AP2" s="73"/>
      <c r="AQ2" s="73"/>
      <c r="AR2" s="74"/>
      <c r="AS2" s="75" t="s">
        <v>873</v>
      </c>
      <c r="AT2" s="73"/>
      <c r="AU2" s="73"/>
      <c r="AV2" s="73"/>
      <c r="AW2" s="73"/>
      <c r="AX2" s="74"/>
      <c r="AY2" s="75" t="s">
        <v>874</v>
      </c>
      <c r="AZ2" s="73"/>
      <c r="BA2" s="73"/>
      <c r="BB2" s="73"/>
      <c r="BC2" s="73"/>
      <c r="BD2" s="74"/>
      <c r="BE2" s="75" t="s">
        <v>875</v>
      </c>
      <c r="BF2" s="73"/>
      <c r="BG2" s="73"/>
      <c r="BH2" s="73"/>
      <c r="BI2" s="73"/>
      <c r="BJ2" s="73"/>
      <c r="BK2" s="49"/>
      <c r="BL2" s="26" t="s">
        <v>863</v>
      </c>
      <c r="BM2" s="27"/>
      <c r="BN2" s="27"/>
      <c r="BO2" s="27"/>
      <c r="BP2" s="27"/>
      <c r="BQ2" s="27"/>
      <c r="BR2" s="26" t="s">
        <v>863</v>
      </c>
      <c r="BS2" s="27"/>
      <c r="BT2" s="27"/>
      <c r="BU2" s="27"/>
      <c r="BV2" s="27"/>
      <c r="BW2" s="27"/>
      <c r="BX2" s="26" t="s">
        <v>863</v>
      </c>
      <c r="BY2" s="27"/>
      <c r="BZ2" s="27"/>
      <c r="CA2" s="27"/>
      <c r="CB2" s="27"/>
      <c r="CC2" s="27"/>
      <c r="CD2" s="26" t="s">
        <v>863</v>
      </c>
      <c r="CE2" s="27"/>
      <c r="CF2" s="27"/>
      <c r="CG2" s="27"/>
      <c r="CH2" s="27"/>
      <c r="CI2" s="27"/>
    </row>
    <row r="3" spans="1:117" ht="15" customHeight="1" x14ac:dyDescent="0.2">
      <c r="A3" s="9" t="s">
        <v>857</v>
      </c>
      <c r="B3" s="9" t="s">
        <v>6</v>
      </c>
      <c r="C3" s="12" t="s">
        <v>7</v>
      </c>
      <c r="D3" s="9" t="s">
        <v>8</v>
      </c>
      <c r="E3" s="9">
        <v>24</v>
      </c>
      <c r="F3" s="9">
        <v>25</v>
      </c>
      <c r="G3" s="9">
        <v>26</v>
      </c>
      <c r="H3" s="9">
        <v>27</v>
      </c>
      <c r="I3" s="9">
        <v>28</v>
      </c>
      <c r="J3" s="9">
        <v>31</v>
      </c>
      <c r="K3" s="9" t="s">
        <v>864</v>
      </c>
      <c r="L3" s="24" t="s">
        <v>877</v>
      </c>
      <c r="M3" s="32"/>
      <c r="N3" s="56" t="s">
        <v>879</v>
      </c>
      <c r="O3" s="42" t="s">
        <v>859</v>
      </c>
      <c r="P3" s="9" t="s">
        <v>860</v>
      </c>
      <c r="Q3" s="9" t="s">
        <v>861</v>
      </c>
      <c r="R3" s="9" t="s">
        <v>870</v>
      </c>
      <c r="S3" s="18" t="s">
        <v>878</v>
      </c>
      <c r="T3" s="9" t="s">
        <v>862</v>
      </c>
      <c r="U3" s="18" t="s">
        <v>859</v>
      </c>
      <c r="V3" s="9" t="s">
        <v>860</v>
      </c>
      <c r="W3" s="9" t="s">
        <v>861</v>
      </c>
      <c r="X3" s="9" t="s">
        <v>870</v>
      </c>
      <c r="Y3" s="18" t="s">
        <v>878</v>
      </c>
      <c r="Z3" s="43" t="s">
        <v>862</v>
      </c>
      <c r="AA3" s="42" t="s">
        <v>859</v>
      </c>
      <c r="AB3" s="9" t="s">
        <v>860</v>
      </c>
      <c r="AC3" s="9" t="s">
        <v>861</v>
      </c>
      <c r="AD3" s="9" t="s">
        <v>870</v>
      </c>
      <c r="AE3" s="18" t="s">
        <v>878</v>
      </c>
      <c r="AF3" s="9" t="s">
        <v>862</v>
      </c>
      <c r="AG3" s="18" t="s">
        <v>859</v>
      </c>
      <c r="AH3" s="9" t="s">
        <v>860</v>
      </c>
      <c r="AI3" s="9" t="s">
        <v>861</v>
      </c>
      <c r="AJ3" s="9" t="s">
        <v>870</v>
      </c>
      <c r="AK3" s="18" t="s">
        <v>878</v>
      </c>
      <c r="AL3" s="43" t="s">
        <v>862</v>
      </c>
      <c r="AM3" s="28" t="s">
        <v>859</v>
      </c>
      <c r="AN3" s="9" t="s">
        <v>860</v>
      </c>
      <c r="AO3" s="9" t="s">
        <v>861</v>
      </c>
      <c r="AP3" s="9" t="s">
        <v>870</v>
      </c>
      <c r="AQ3" s="18" t="s">
        <v>878</v>
      </c>
      <c r="AR3" s="9" t="s">
        <v>862</v>
      </c>
      <c r="AS3" s="18" t="s">
        <v>859</v>
      </c>
      <c r="AT3" s="9" t="s">
        <v>860</v>
      </c>
      <c r="AU3" s="9" t="s">
        <v>861</v>
      </c>
      <c r="AV3" s="9" t="s">
        <v>870</v>
      </c>
      <c r="AW3" s="18" t="s">
        <v>878</v>
      </c>
      <c r="AX3" s="9" t="s">
        <v>862</v>
      </c>
      <c r="AY3" s="18" t="s">
        <v>859</v>
      </c>
      <c r="AZ3" s="9" t="s">
        <v>860</v>
      </c>
      <c r="BA3" s="9" t="s">
        <v>861</v>
      </c>
      <c r="BB3" s="9" t="s">
        <v>870</v>
      </c>
      <c r="BC3" s="18" t="s">
        <v>878</v>
      </c>
      <c r="BD3" s="9" t="s">
        <v>862</v>
      </c>
      <c r="BE3" s="18" t="s">
        <v>859</v>
      </c>
      <c r="BF3" s="9" t="s">
        <v>860</v>
      </c>
      <c r="BG3" s="9" t="s">
        <v>861</v>
      </c>
      <c r="BH3" s="9" t="s">
        <v>870</v>
      </c>
      <c r="BI3" s="18" t="s">
        <v>878</v>
      </c>
      <c r="BJ3" s="9" t="s">
        <v>862</v>
      </c>
      <c r="BK3" s="50"/>
      <c r="BL3" s="18" t="s">
        <v>859</v>
      </c>
      <c r="BM3" s="9" t="s">
        <v>860</v>
      </c>
      <c r="BN3" s="9" t="s">
        <v>861</v>
      </c>
      <c r="BO3" s="9" t="s">
        <v>870</v>
      </c>
      <c r="BP3" s="9" t="s">
        <v>871</v>
      </c>
      <c r="BQ3" s="9" t="s">
        <v>862</v>
      </c>
      <c r="BR3" s="18" t="s">
        <v>859</v>
      </c>
      <c r="BS3" s="9" t="s">
        <v>860</v>
      </c>
      <c r="BT3" s="9" t="s">
        <v>861</v>
      </c>
      <c r="BU3" s="9" t="s">
        <v>870</v>
      </c>
      <c r="BV3" s="9" t="s">
        <v>871</v>
      </c>
      <c r="BW3" s="9" t="s">
        <v>862</v>
      </c>
      <c r="BX3" s="18" t="s">
        <v>859</v>
      </c>
      <c r="BY3" s="9" t="s">
        <v>860</v>
      </c>
      <c r="BZ3" s="9" t="s">
        <v>861</v>
      </c>
      <c r="CA3" s="9" t="s">
        <v>870</v>
      </c>
      <c r="CB3" s="9" t="s">
        <v>871</v>
      </c>
      <c r="CC3" s="9" t="s">
        <v>862</v>
      </c>
      <c r="CD3" s="18" t="s">
        <v>859</v>
      </c>
      <c r="CE3" s="9" t="s">
        <v>860</v>
      </c>
      <c r="CF3" s="9" t="s">
        <v>861</v>
      </c>
      <c r="CG3" s="9" t="s">
        <v>870</v>
      </c>
      <c r="CH3" s="9" t="s">
        <v>871</v>
      </c>
      <c r="CI3" s="9" t="s">
        <v>862</v>
      </c>
      <c r="CJ3" s="9">
        <v>1</v>
      </c>
      <c r="CK3" s="9">
        <v>2</v>
      </c>
      <c r="CL3" s="9">
        <v>3</v>
      </c>
      <c r="CM3" s="9">
        <v>4</v>
      </c>
      <c r="CN3" s="9">
        <v>7</v>
      </c>
      <c r="CO3" s="9">
        <v>8</v>
      </c>
      <c r="CP3" s="9">
        <v>9</v>
      </c>
      <c r="CQ3" s="9">
        <v>10</v>
      </c>
      <c r="CR3" s="9">
        <v>11</v>
      </c>
      <c r="CS3" s="9">
        <v>14</v>
      </c>
      <c r="CT3" s="9">
        <v>15</v>
      </c>
      <c r="CU3" s="9">
        <v>16</v>
      </c>
      <c r="CV3" s="9">
        <v>17</v>
      </c>
      <c r="CW3" s="9">
        <v>18</v>
      </c>
      <c r="CX3" s="9">
        <v>21</v>
      </c>
      <c r="CY3" s="9">
        <v>22</v>
      </c>
      <c r="CZ3" s="9">
        <v>23</v>
      </c>
      <c r="DA3" s="9">
        <v>24</v>
      </c>
      <c r="DB3" s="9">
        <v>25</v>
      </c>
      <c r="DC3" s="9">
        <v>28</v>
      </c>
      <c r="DD3" s="9">
        <v>29</v>
      </c>
      <c r="DE3" s="9">
        <v>30</v>
      </c>
    </row>
    <row r="4" spans="1:117" s="103" customFormat="1" ht="16" x14ac:dyDescent="0.2">
      <c r="A4" s="94" t="s">
        <v>781</v>
      </c>
      <c r="B4" s="94">
        <v>1</v>
      </c>
      <c r="C4" s="95" t="s">
        <v>780</v>
      </c>
      <c r="D4" s="94" t="s">
        <v>165</v>
      </c>
      <c r="E4" s="77"/>
      <c r="F4" s="79"/>
      <c r="G4" s="94"/>
      <c r="H4" s="94"/>
      <c r="I4" s="94"/>
      <c r="J4" s="94"/>
      <c r="K4" s="96" t="e">
        <f>L4*0.7</f>
        <v>#DIV/0!</v>
      </c>
      <c r="L4" s="97" t="e">
        <f>IF(M4&gt;=100,100,M4)</f>
        <v>#DIV/0!</v>
      </c>
      <c r="M4" s="97" t="e">
        <f>T4*10+Z4*10+AF4*15+AL4*15+AR4*15+AX4*15+BD4*20+BJ4*20+N4</f>
        <v>#DIV/0!</v>
      </c>
      <c r="N4" s="98"/>
      <c r="O4" s="99"/>
      <c r="P4" s="94"/>
      <c r="Q4" s="94"/>
      <c r="R4" s="94"/>
      <c r="S4" s="94"/>
      <c r="T4" s="100" t="e">
        <f>AVERAGE(O4:S4)</f>
        <v>#DIV/0!</v>
      </c>
      <c r="U4" s="94"/>
      <c r="V4" s="94"/>
      <c r="W4" s="94"/>
      <c r="X4" s="94"/>
      <c r="Y4" s="94"/>
      <c r="Z4" s="100" t="e">
        <f>AVERAGE(U4:Y4)</f>
        <v>#DIV/0!</v>
      </c>
      <c r="AA4" s="99"/>
      <c r="AB4" s="94"/>
      <c r="AC4" s="94"/>
      <c r="AD4" s="94"/>
      <c r="AE4" s="94"/>
      <c r="AF4" s="100" t="e">
        <f>AVERAGE(AA4:AE4)</f>
        <v>#DIV/0!</v>
      </c>
      <c r="AG4" s="94"/>
      <c r="AH4" s="94"/>
      <c r="AI4" s="94"/>
      <c r="AJ4" s="94"/>
      <c r="AK4" s="94"/>
      <c r="AL4" s="100" t="e">
        <f>AVERAGE(AG4:AK4)</f>
        <v>#DIV/0!</v>
      </c>
      <c r="AM4" s="101"/>
      <c r="AN4" s="94"/>
      <c r="AO4" s="94"/>
      <c r="AP4" s="94"/>
      <c r="AQ4" s="94"/>
      <c r="AR4" s="100" t="e">
        <f>AVERAGE(AM4:AQ4)</f>
        <v>#DIV/0!</v>
      </c>
      <c r="AS4" s="94"/>
      <c r="AT4" s="94"/>
      <c r="AU4" s="94"/>
      <c r="AV4" s="94"/>
      <c r="AW4" s="94"/>
      <c r="AX4" s="100" t="e">
        <f>AVERAGE(AS4:AW4)</f>
        <v>#DIV/0!</v>
      </c>
      <c r="AY4" s="94"/>
      <c r="AZ4" s="94"/>
      <c r="BA4" s="94"/>
      <c r="BB4" s="94"/>
      <c r="BC4" s="94"/>
      <c r="BD4" s="100" t="e">
        <f>AVERAGE(AY4:BC4)</f>
        <v>#DIV/0!</v>
      </c>
      <c r="BE4" s="94"/>
      <c r="BF4" s="94"/>
      <c r="BG4" s="94"/>
      <c r="BH4" s="94"/>
      <c r="BI4" s="94"/>
      <c r="BJ4" s="100" t="e">
        <f>AVERAGE(BE4:BI4)</f>
        <v>#DIV/0!</v>
      </c>
      <c r="BK4" s="104"/>
      <c r="BL4" s="94"/>
      <c r="BM4" s="94"/>
      <c r="BN4" s="94"/>
      <c r="BO4" s="94"/>
      <c r="BP4" s="94"/>
      <c r="BQ4" s="100">
        <f>SUM(BL4:BP4)/5</f>
        <v>0</v>
      </c>
      <c r="BR4" s="94"/>
      <c r="BS4" s="94"/>
      <c r="BT4" s="94"/>
      <c r="BU4" s="94"/>
      <c r="BV4" s="94"/>
      <c r="BW4" s="100">
        <f>SUM(BR4:BV4)/5</f>
        <v>0</v>
      </c>
      <c r="BX4" s="94"/>
      <c r="BY4" s="94"/>
      <c r="BZ4" s="94"/>
      <c r="CA4" s="94"/>
      <c r="CB4" s="94"/>
      <c r="CC4" s="100">
        <f>SUM(BX4:CB4)/5</f>
        <v>0</v>
      </c>
      <c r="CD4" s="94"/>
      <c r="CE4" s="94"/>
      <c r="CF4" s="94"/>
      <c r="CG4" s="94"/>
      <c r="CH4" s="94"/>
      <c r="CI4" s="100">
        <f>SUM(CD4:CH4)/5</f>
        <v>0</v>
      </c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</row>
    <row r="5" spans="1:117" ht="16" x14ac:dyDescent="0.2">
      <c r="A5" s="7" t="s">
        <v>779</v>
      </c>
      <c r="B5" s="7">
        <v>1</v>
      </c>
      <c r="C5" s="14" t="s">
        <v>778</v>
      </c>
      <c r="D5" s="7" t="s">
        <v>165</v>
      </c>
      <c r="E5" s="80"/>
      <c r="F5" s="82"/>
      <c r="G5" s="7">
        <v>1</v>
      </c>
      <c r="H5" s="7">
        <v>1</v>
      </c>
      <c r="I5" s="7">
        <v>1</v>
      </c>
      <c r="J5" s="7">
        <v>1</v>
      </c>
      <c r="K5" s="30">
        <f t="shared" ref="K5:K26" si="0">L5*0.7</f>
        <v>62.3</v>
      </c>
      <c r="L5" s="33">
        <f t="shared" ref="L5:L26" si="1">IF(M5&gt;=100,100,M5)</f>
        <v>89</v>
      </c>
      <c r="M5" s="33">
        <f t="shared" ref="M5:M26" si="2">T5*10+Z5*10+AF5*15+AL5*15+AR5*15+AX5*15+BD5*20+BJ5*20+N5</f>
        <v>89</v>
      </c>
      <c r="N5" s="57">
        <f>0.6*15</f>
        <v>9</v>
      </c>
      <c r="O5" s="45">
        <v>1</v>
      </c>
      <c r="P5" s="7">
        <v>1</v>
      </c>
      <c r="Q5" s="7">
        <v>1</v>
      </c>
      <c r="R5" s="7">
        <v>1</v>
      </c>
      <c r="S5" s="7">
        <v>1</v>
      </c>
      <c r="T5" s="48">
        <f t="shared" ref="T5:T26" si="3">AVERAGE(O5:S5)</f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48">
        <f t="shared" ref="Z5:Z26" si="4">AVERAGE(U5:Y5)</f>
        <v>1</v>
      </c>
      <c r="AA5" s="45">
        <v>1</v>
      </c>
      <c r="AB5" s="7">
        <v>1</v>
      </c>
      <c r="AC5" s="7">
        <v>1</v>
      </c>
      <c r="AD5" s="7">
        <v>0.5</v>
      </c>
      <c r="AE5" s="7">
        <v>0.5</v>
      </c>
      <c r="AF5" s="48">
        <f t="shared" ref="AF5:AF26" si="5">AVERAGE(AA5:AE5)</f>
        <v>0.8</v>
      </c>
      <c r="AG5" s="7">
        <v>1</v>
      </c>
      <c r="AH5" s="7">
        <v>1</v>
      </c>
      <c r="AI5" s="7">
        <v>1</v>
      </c>
      <c r="AJ5" s="7">
        <v>0.5</v>
      </c>
      <c r="AK5" s="7">
        <v>0.5</v>
      </c>
      <c r="AL5" s="48">
        <f t="shared" ref="AL5:AL26" si="6">AVERAGE(AG5:AK5)</f>
        <v>0.8</v>
      </c>
      <c r="AM5" s="35">
        <v>1</v>
      </c>
      <c r="AN5" s="7">
        <v>1</v>
      </c>
      <c r="AO5" s="7">
        <v>1</v>
      </c>
      <c r="AP5" s="7">
        <v>0.5</v>
      </c>
      <c r="AQ5" s="7">
        <v>0.5</v>
      </c>
      <c r="AR5" s="48">
        <f t="shared" ref="AR5:AR26" si="7">AVERAGE(AM5:AQ5)</f>
        <v>0.8</v>
      </c>
      <c r="AS5" s="7">
        <v>1</v>
      </c>
      <c r="AT5" s="7">
        <v>1</v>
      </c>
      <c r="AU5" s="7">
        <v>1</v>
      </c>
      <c r="AV5" s="7">
        <v>0.5</v>
      </c>
      <c r="AW5" s="7">
        <v>0.5</v>
      </c>
      <c r="AX5" s="48">
        <f t="shared" ref="AX5:AX26" si="8">AVERAGE(AS5:AW5)</f>
        <v>0.8</v>
      </c>
      <c r="AY5" s="7">
        <v>1</v>
      </c>
      <c r="AZ5" s="7">
        <v>1</v>
      </c>
      <c r="BA5" s="7">
        <v>1</v>
      </c>
      <c r="BB5" s="7">
        <v>0</v>
      </c>
      <c r="BC5" s="7">
        <v>0</v>
      </c>
      <c r="BD5" s="48">
        <f t="shared" ref="BD5:BD26" si="9">AVERAGE(AY5:BC5)</f>
        <v>0.6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48">
        <f t="shared" ref="BJ5:BJ26" si="10">AVERAGE(BE5:BI5)</f>
        <v>0</v>
      </c>
      <c r="BK5" s="55"/>
      <c r="BL5" s="7">
        <v>1</v>
      </c>
      <c r="BM5" s="7">
        <v>1</v>
      </c>
      <c r="BN5" s="7">
        <v>1</v>
      </c>
      <c r="BO5" s="7">
        <v>0</v>
      </c>
      <c r="BP5" s="7">
        <v>0</v>
      </c>
      <c r="BQ5" s="48">
        <f t="shared" ref="BQ5:BQ26" si="11">SUM(BL5:BP5)/5</f>
        <v>0.6</v>
      </c>
      <c r="BR5" s="7"/>
      <c r="BS5" s="7"/>
      <c r="BT5" s="7"/>
      <c r="BU5" s="7"/>
      <c r="BV5" s="7"/>
      <c r="BW5" s="48">
        <f t="shared" ref="BW5:BW26" si="12">SUM(BR5:BV5)/5</f>
        <v>0</v>
      </c>
      <c r="BX5" s="7"/>
      <c r="BY5" s="7"/>
      <c r="BZ5" s="7"/>
      <c r="CA5" s="7"/>
      <c r="CB5" s="7"/>
      <c r="CC5" s="48">
        <f t="shared" ref="CC5:CC26" si="13">SUM(BX5:CB5)/5</f>
        <v>0</v>
      </c>
      <c r="CD5" s="7"/>
      <c r="CE5" s="7"/>
      <c r="CF5" s="7"/>
      <c r="CG5" s="7"/>
      <c r="CH5" s="7"/>
      <c r="CI5" s="48">
        <f t="shared" ref="CI5:CI26" si="14">SUM(CD5:CH5)/5</f>
        <v>0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</row>
    <row r="6" spans="1:117" ht="16" x14ac:dyDescent="0.2">
      <c r="A6" s="5" t="s">
        <v>777</v>
      </c>
      <c r="B6" s="5">
        <v>1</v>
      </c>
      <c r="C6" s="13" t="s">
        <v>776</v>
      </c>
      <c r="D6" s="5" t="s">
        <v>165</v>
      </c>
      <c r="E6" s="80"/>
      <c r="F6" s="82"/>
      <c r="G6" s="5">
        <v>1</v>
      </c>
      <c r="H6" s="5">
        <v>1</v>
      </c>
      <c r="I6" s="5">
        <v>1</v>
      </c>
      <c r="J6" s="5">
        <v>1</v>
      </c>
      <c r="K6" s="30">
        <f t="shared" si="0"/>
        <v>70</v>
      </c>
      <c r="L6" s="33">
        <f t="shared" si="1"/>
        <v>100</v>
      </c>
      <c r="M6" s="33">
        <f t="shared" si="2"/>
        <v>120</v>
      </c>
      <c r="N6" s="57"/>
      <c r="O6" s="44">
        <v>1</v>
      </c>
      <c r="P6" s="5">
        <v>1</v>
      </c>
      <c r="Q6" s="5">
        <v>1</v>
      </c>
      <c r="R6" s="5">
        <v>1</v>
      </c>
      <c r="S6" s="5">
        <v>1</v>
      </c>
      <c r="T6" s="48">
        <f t="shared" si="3"/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48">
        <f t="shared" si="4"/>
        <v>1</v>
      </c>
      <c r="AA6" s="44">
        <v>1</v>
      </c>
      <c r="AB6" s="5">
        <v>1</v>
      </c>
      <c r="AC6" s="5">
        <v>1</v>
      </c>
      <c r="AD6" s="5">
        <v>1</v>
      </c>
      <c r="AE6" s="5">
        <v>1</v>
      </c>
      <c r="AF6" s="48">
        <f t="shared" si="5"/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48">
        <f t="shared" si="6"/>
        <v>1</v>
      </c>
      <c r="AM6" s="34">
        <v>1</v>
      </c>
      <c r="AN6" s="5">
        <v>1</v>
      </c>
      <c r="AO6" s="5">
        <v>1</v>
      </c>
      <c r="AP6" s="5">
        <v>1</v>
      </c>
      <c r="AQ6" s="5">
        <v>1</v>
      </c>
      <c r="AR6" s="48">
        <f t="shared" si="7"/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48">
        <f t="shared" si="8"/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48">
        <f t="shared" si="9"/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48">
        <f t="shared" si="10"/>
        <v>1</v>
      </c>
      <c r="BK6" s="55"/>
      <c r="BL6" s="5"/>
      <c r="BM6" s="5"/>
      <c r="BN6" s="5"/>
      <c r="BO6" s="5"/>
      <c r="BP6" s="5"/>
      <c r="BQ6" s="48">
        <f t="shared" si="11"/>
        <v>0</v>
      </c>
      <c r="BR6" s="5"/>
      <c r="BS6" s="5"/>
      <c r="BT6" s="5"/>
      <c r="BU6" s="5"/>
      <c r="BV6" s="5"/>
      <c r="BW6" s="48">
        <f t="shared" si="12"/>
        <v>0</v>
      </c>
      <c r="BX6" s="5"/>
      <c r="BY6" s="5"/>
      <c r="BZ6" s="5"/>
      <c r="CA6" s="5"/>
      <c r="CB6" s="5"/>
      <c r="CC6" s="48">
        <f t="shared" si="13"/>
        <v>0</v>
      </c>
      <c r="CD6" s="5"/>
      <c r="CE6" s="5"/>
      <c r="CF6" s="5"/>
      <c r="CG6" s="5"/>
      <c r="CH6" s="5"/>
      <c r="CI6" s="48">
        <f t="shared" si="14"/>
        <v>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</row>
    <row r="7" spans="1:117" ht="16" x14ac:dyDescent="0.2">
      <c r="A7" s="7" t="s">
        <v>775</v>
      </c>
      <c r="B7" s="7">
        <v>1</v>
      </c>
      <c r="C7" s="14" t="s">
        <v>774</v>
      </c>
      <c r="D7" s="7" t="s">
        <v>165</v>
      </c>
      <c r="E7" s="80"/>
      <c r="F7" s="82"/>
      <c r="G7" s="7">
        <v>1</v>
      </c>
      <c r="H7" s="7">
        <v>1</v>
      </c>
      <c r="I7" s="7">
        <v>1</v>
      </c>
      <c r="J7" s="7">
        <v>1</v>
      </c>
      <c r="K7" s="30">
        <f t="shared" si="0"/>
        <v>70</v>
      </c>
      <c r="L7" s="33">
        <f t="shared" si="1"/>
        <v>100</v>
      </c>
      <c r="M7" s="33">
        <f t="shared" si="2"/>
        <v>120</v>
      </c>
      <c r="N7" s="57"/>
      <c r="O7" s="45">
        <v>1</v>
      </c>
      <c r="P7" s="7">
        <v>1</v>
      </c>
      <c r="Q7" s="7">
        <v>1</v>
      </c>
      <c r="R7" s="7">
        <v>1</v>
      </c>
      <c r="S7" s="7">
        <v>1</v>
      </c>
      <c r="T7" s="48">
        <f t="shared" si="3"/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48">
        <f t="shared" si="4"/>
        <v>1</v>
      </c>
      <c r="AA7" s="45">
        <v>1</v>
      </c>
      <c r="AB7" s="7">
        <v>1</v>
      </c>
      <c r="AC7" s="7">
        <v>1</v>
      </c>
      <c r="AD7" s="7">
        <v>1</v>
      </c>
      <c r="AE7" s="7">
        <v>1</v>
      </c>
      <c r="AF7" s="48">
        <f t="shared" si="5"/>
        <v>1</v>
      </c>
      <c r="AG7" s="45">
        <v>1</v>
      </c>
      <c r="AH7" s="7">
        <v>1</v>
      </c>
      <c r="AI7" s="7">
        <v>1</v>
      </c>
      <c r="AJ7" s="7">
        <v>1</v>
      </c>
      <c r="AK7" s="7">
        <v>1</v>
      </c>
      <c r="AL7" s="48">
        <f t="shared" si="6"/>
        <v>1</v>
      </c>
      <c r="AM7" s="35">
        <v>1</v>
      </c>
      <c r="AN7" s="7">
        <v>1</v>
      </c>
      <c r="AO7" s="7">
        <v>1</v>
      </c>
      <c r="AP7" s="7">
        <v>1</v>
      </c>
      <c r="AQ7" s="7">
        <v>1</v>
      </c>
      <c r="AR7" s="48">
        <f t="shared" si="7"/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48">
        <f t="shared" si="8"/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48">
        <f t="shared" si="9"/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48">
        <f t="shared" si="10"/>
        <v>1</v>
      </c>
      <c r="BK7" s="55"/>
      <c r="BL7" s="7"/>
      <c r="BM7" s="7"/>
      <c r="BN7" s="7"/>
      <c r="BO7" s="7"/>
      <c r="BP7" s="7"/>
      <c r="BQ7" s="48">
        <f t="shared" si="11"/>
        <v>0</v>
      </c>
      <c r="BR7" s="7"/>
      <c r="BS7" s="7"/>
      <c r="BT7" s="7"/>
      <c r="BU7" s="7"/>
      <c r="BV7" s="7"/>
      <c r="BW7" s="48">
        <f t="shared" si="12"/>
        <v>0</v>
      </c>
      <c r="BX7" s="7"/>
      <c r="BY7" s="7"/>
      <c r="BZ7" s="7"/>
      <c r="CA7" s="7"/>
      <c r="CB7" s="7"/>
      <c r="CC7" s="48">
        <f t="shared" si="13"/>
        <v>0</v>
      </c>
      <c r="CD7" s="7"/>
      <c r="CE7" s="7"/>
      <c r="CF7" s="7"/>
      <c r="CG7" s="7"/>
      <c r="CH7" s="7"/>
      <c r="CI7" s="48">
        <f t="shared" si="14"/>
        <v>0</v>
      </c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</row>
    <row r="8" spans="1:117" ht="16" x14ac:dyDescent="0.2">
      <c r="A8" s="5" t="s">
        <v>773</v>
      </c>
      <c r="B8" s="5">
        <v>1</v>
      </c>
      <c r="C8" s="13" t="s">
        <v>772</v>
      </c>
      <c r="D8" s="5" t="s">
        <v>165</v>
      </c>
      <c r="E8" s="80"/>
      <c r="F8" s="82"/>
      <c r="G8" s="5">
        <v>1</v>
      </c>
      <c r="H8" s="5">
        <v>1</v>
      </c>
      <c r="I8" s="5">
        <v>1</v>
      </c>
      <c r="J8" s="5">
        <v>1</v>
      </c>
      <c r="K8" s="30">
        <f t="shared" si="0"/>
        <v>67.899999999999991</v>
      </c>
      <c r="L8" s="33">
        <f t="shared" si="1"/>
        <v>97</v>
      </c>
      <c r="M8" s="33">
        <f t="shared" si="2"/>
        <v>97</v>
      </c>
      <c r="N8" s="57">
        <v>15</v>
      </c>
      <c r="O8" s="44">
        <v>1</v>
      </c>
      <c r="P8" s="5">
        <v>1</v>
      </c>
      <c r="Q8" s="5">
        <v>1</v>
      </c>
      <c r="R8" s="5">
        <v>1</v>
      </c>
      <c r="S8" s="5">
        <v>1</v>
      </c>
      <c r="T8" s="48">
        <f t="shared" si="3"/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48">
        <f t="shared" si="4"/>
        <v>1</v>
      </c>
      <c r="AA8" s="44">
        <v>1</v>
      </c>
      <c r="AB8" s="5">
        <v>1</v>
      </c>
      <c r="AC8" s="5">
        <v>1</v>
      </c>
      <c r="AD8" s="5">
        <v>1</v>
      </c>
      <c r="AE8" s="5">
        <v>1</v>
      </c>
      <c r="AF8" s="48">
        <f t="shared" si="5"/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48">
        <f t="shared" si="6"/>
        <v>1</v>
      </c>
      <c r="AM8" s="34">
        <v>1</v>
      </c>
      <c r="AN8" s="5">
        <v>1</v>
      </c>
      <c r="AO8" s="5">
        <v>1</v>
      </c>
      <c r="AP8" s="5">
        <v>1</v>
      </c>
      <c r="AQ8" s="5">
        <v>1</v>
      </c>
      <c r="AR8" s="48">
        <f t="shared" si="7"/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48">
        <f t="shared" si="8"/>
        <v>1</v>
      </c>
      <c r="AY8" s="5">
        <v>0.5</v>
      </c>
      <c r="AZ8" s="5">
        <v>0</v>
      </c>
      <c r="BA8" s="5">
        <v>0</v>
      </c>
      <c r="BB8" s="5">
        <v>0</v>
      </c>
      <c r="BC8" s="5">
        <v>0</v>
      </c>
      <c r="BD8" s="48">
        <f t="shared" si="9"/>
        <v>0.1</v>
      </c>
      <c r="BE8" s="5">
        <v>0.5</v>
      </c>
      <c r="BF8" s="5">
        <v>0</v>
      </c>
      <c r="BG8" s="5">
        <v>0</v>
      </c>
      <c r="BH8" s="5">
        <v>0</v>
      </c>
      <c r="BI8" s="5">
        <v>0</v>
      </c>
      <c r="BJ8" s="48">
        <v>0</v>
      </c>
      <c r="BK8" s="55"/>
      <c r="BL8" s="5"/>
      <c r="BM8" s="5"/>
      <c r="BN8" s="5"/>
      <c r="BO8" s="5"/>
      <c r="BP8" s="5"/>
      <c r="BQ8" s="48">
        <f t="shared" si="11"/>
        <v>0</v>
      </c>
      <c r="BR8" s="5"/>
      <c r="BS8" s="5"/>
      <c r="BT8" s="5"/>
      <c r="BU8" s="5"/>
      <c r="BV8" s="5"/>
      <c r="BW8" s="48">
        <f t="shared" si="12"/>
        <v>0</v>
      </c>
      <c r="BX8" s="5"/>
      <c r="BY8" s="5"/>
      <c r="BZ8" s="5"/>
      <c r="CA8" s="5"/>
      <c r="CB8" s="5"/>
      <c r="CC8" s="48">
        <f t="shared" si="13"/>
        <v>0</v>
      </c>
      <c r="CD8" s="5"/>
      <c r="CE8" s="5"/>
      <c r="CF8" s="5"/>
      <c r="CG8" s="5"/>
      <c r="CH8" s="5"/>
      <c r="CI8" s="48">
        <f t="shared" si="14"/>
        <v>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</row>
    <row r="9" spans="1:117" s="103" customFormat="1" ht="16" x14ac:dyDescent="0.2">
      <c r="A9" s="94" t="s">
        <v>771</v>
      </c>
      <c r="B9" s="94">
        <v>1</v>
      </c>
      <c r="C9" s="95" t="s">
        <v>770</v>
      </c>
      <c r="D9" s="94" t="s">
        <v>165</v>
      </c>
      <c r="E9" s="80"/>
      <c r="F9" s="82"/>
      <c r="G9" s="94">
        <v>1</v>
      </c>
      <c r="H9" s="94">
        <v>1</v>
      </c>
      <c r="I9" s="94">
        <v>1</v>
      </c>
      <c r="J9" s="94">
        <v>1</v>
      </c>
      <c r="K9" s="96" t="e">
        <f t="shared" si="0"/>
        <v>#DIV/0!</v>
      </c>
      <c r="L9" s="97" t="e">
        <f t="shared" si="1"/>
        <v>#DIV/0!</v>
      </c>
      <c r="M9" s="97" t="e">
        <f t="shared" si="2"/>
        <v>#DIV/0!</v>
      </c>
      <c r="N9" s="98"/>
      <c r="O9" s="99"/>
      <c r="P9" s="94"/>
      <c r="Q9" s="94"/>
      <c r="R9" s="94"/>
      <c r="S9" s="94"/>
      <c r="T9" s="100" t="e">
        <f t="shared" si="3"/>
        <v>#DIV/0!</v>
      </c>
      <c r="U9" s="94"/>
      <c r="V9" s="94"/>
      <c r="W9" s="94"/>
      <c r="X9" s="94"/>
      <c r="Y9" s="94"/>
      <c r="Z9" s="100" t="e">
        <f t="shared" si="4"/>
        <v>#DIV/0!</v>
      </c>
      <c r="AA9" s="99"/>
      <c r="AB9" s="94"/>
      <c r="AC9" s="94"/>
      <c r="AD9" s="94"/>
      <c r="AE9" s="94"/>
      <c r="AF9" s="100" t="e">
        <f t="shared" si="5"/>
        <v>#DIV/0!</v>
      </c>
      <c r="AG9" s="94"/>
      <c r="AH9" s="94"/>
      <c r="AI9" s="94"/>
      <c r="AJ9" s="94"/>
      <c r="AK9" s="94"/>
      <c r="AL9" s="100" t="e">
        <f t="shared" si="6"/>
        <v>#DIV/0!</v>
      </c>
      <c r="AM9" s="101"/>
      <c r="AN9" s="94"/>
      <c r="AO9" s="94"/>
      <c r="AP9" s="94"/>
      <c r="AQ9" s="94"/>
      <c r="AR9" s="100" t="e">
        <f t="shared" si="7"/>
        <v>#DIV/0!</v>
      </c>
      <c r="AS9" s="94"/>
      <c r="AT9" s="94"/>
      <c r="AU9" s="94"/>
      <c r="AV9" s="94"/>
      <c r="AW9" s="94"/>
      <c r="AX9" s="100" t="e">
        <f t="shared" si="8"/>
        <v>#DIV/0!</v>
      </c>
      <c r="AY9" s="94"/>
      <c r="AZ9" s="94"/>
      <c r="BA9" s="94"/>
      <c r="BB9" s="94"/>
      <c r="BC9" s="94"/>
      <c r="BD9" s="100" t="e">
        <f t="shared" si="9"/>
        <v>#DIV/0!</v>
      </c>
      <c r="BE9" s="94"/>
      <c r="BF9" s="94"/>
      <c r="BG9" s="94"/>
      <c r="BH9" s="94"/>
      <c r="BI9" s="94"/>
      <c r="BJ9" s="100" t="e">
        <f t="shared" si="10"/>
        <v>#DIV/0!</v>
      </c>
      <c r="BK9" s="102"/>
      <c r="BL9" s="94"/>
      <c r="BM9" s="94"/>
      <c r="BN9" s="94"/>
      <c r="BO9" s="94"/>
      <c r="BP9" s="94"/>
      <c r="BQ9" s="100">
        <f t="shared" si="11"/>
        <v>0</v>
      </c>
      <c r="BR9" s="94"/>
      <c r="BS9" s="94"/>
      <c r="BT9" s="94"/>
      <c r="BU9" s="94"/>
      <c r="BV9" s="94"/>
      <c r="BW9" s="100">
        <f t="shared" si="12"/>
        <v>0</v>
      </c>
      <c r="BX9" s="94"/>
      <c r="BY9" s="94"/>
      <c r="BZ9" s="94"/>
      <c r="CA9" s="94"/>
      <c r="CB9" s="94"/>
      <c r="CC9" s="100">
        <f t="shared" si="13"/>
        <v>0</v>
      </c>
      <c r="CD9" s="94"/>
      <c r="CE9" s="94"/>
      <c r="CF9" s="94"/>
      <c r="CG9" s="94"/>
      <c r="CH9" s="94"/>
      <c r="CI9" s="100">
        <f t="shared" si="14"/>
        <v>0</v>
      </c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</row>
    <row r="10" spans="1:117" ht="16" x14ac:dyDescent="0.2">
      <c r="A10" s="5" t="s">
        <v>769</v>
      </c>
      <c r="B10" s="5">
        <v>1</v>
      </c>
      <c r="C10" s="13" t="s">
        <v>768</v>
      </c>
      <c r="D10" s="5" t="s">
        <v>165</v>
      </c>
      <c r="E10" s="80"/>
      <c r="F10" s="82"/>
      <c r="G10" s="5">
        <v>1</v>
      </c>
      <c r="H10" s="5">
        <v>1</v>
      </c>
      <c r="I10" s="5">
        <v>1</v>
      </c>
      <c r="J10" s="5">
        <v>1</v>
      </c>
      <c r="K10" s="30">
        <f t="shared" si="0"/>
        <v>56</v>
      </c>
      <c r="L10" s="33">
        <f t="shared" si="1"/>
        <v>80</v>
      </c>
      <c r="M10" s="33">
        <f t="shared" si="2"/>
        <v>80</v>
      </c>
      <c r="N10" s="57"/>
      <c r="O10" s="44">
        <v>1</v>
      </c>
      <c r="P10" s="5">
        <v>1</v>
      </c>
      <c r="Q10" s="5">
        <v>1</v>
      </c>
      <c r="R10" s="5">
        <v>1</v>
      </c>
      <c r="S10" s="5">
        <v>1</v>
      </c>
      <c r="T10" s="48">
        <f t="shared" si="3"/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48">
        <f t="shared" si="4"/>
        <v>1</v>
      </c>
      <c r="AA10" s="44">
        <v>1</v>
      </c>
      <c r="AB10" s="5">
        <v>1</v>
      </c>
      <c r="AC10" s="5">
        <v>1</v>
      </c>
      <c r="AD10" s="5">
        <v>1</v>
      </c>
      <c r="AE10" s="5">
        <v>1</v>
      </c>
      <c r="AF10" s="48">
        <f t="shared" si="5"/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48">
        <f t="shared" si="6"/>
        <v>1</v>
      </c>
      <c r="AM10" s="34">
        <v>1</v>
      </c>
      <c r="AN10" s="5">
        <v>1</v>
      </c>
      <c r="AO10" s="5">
        <v>1</v>
      </c>
      <c r="AP10" s="5">
        <v>1</v>
      </c>
      <c r="AQ10" s="5">
        <v>1</v>
      </c>
      <c r="AR10" s="48">
        <f t="shared" si="7"/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48">
        <f t="shared" si="8"/>
        <v>1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48">
        <f t="shared" si="9"/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48">
        <f t="shared" si="10"/>
        <v>0</v>
      </c>
      <c r="BK10" s="55"/>
      <c r="BL10" s="5"/>
      <c r="BM10" s="5"/>
      <c r="BN10" s="5"/>
      <c r="BO10" s="5"/>
      <c r="BP10" s="5"/>
      <c r="BQ10" s="48">
        <f t="shared" si="11"/>
        <v>0</v>
      </c>
      <c r="BR10" s="5"/>
      <c r="BS10" s="5"/>
      <c r="BT10" s="5"/>
      <c r="BU10" s="5"/>
      <c r="BV10" s="5"/>
      <c r="BW10" s="48">
        <f t="shared" si="12"/>
        <v>0</v>
      </c>
      <c r="BX10" s="5"/>
      <c r="BY10" s="5"/>
      <c r="BZ10" s="5"/>
      <c r="CA10" s="5"/>
      <c r="CB10" s="5"/>
      <c r="CC10" s="48">
        <f t="shared" si="13"/>
        <v>0</v>
      </c>
      <c r="CD10" s="5"/>
      <c r="CE10" s="5"/>
      <c r="CF10" s="5"/>
      <c r="CG10" s="5"/>
      <c r="CH10" s="5"/>
      <c r="CI10" s="48">
        <f t="shared" si="14"/>
        <v>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</row>
    <row r="11" spans="1:117" s="103" customFormat="1" ht="16" x14ac:dyDescent="0.2">
      <c r="A11" s="94" t="s">
        <v>767</v>
      </c>
      <c r="B11" s="94">
        <v>1</v>
      </c>
      <c r="C11" s="95" t="s">
        <v>766</v>
      </c>
      <c r="D11" s="94" t="s">
        <v>165</v>
      </c>
      <c r="E11" s="80"/>
      <c r="F11" s="82"/>
      <c r="G11" s="94"/>
      <c r="H11" s="94"/>
      <c r="I11" s="94"/>
      <c r="J11" s="94"/>
      <c r="K11" s="96" t="e">
        <f t="shared" si="0"/>
        <v>#DIV/0!</v>
      </c>
      <c r="L11" s="97" t="e">
        <f t="shared" si="1"/>
        <v>#DIV/0!</v>
      </c>
      <c r="M11" s="97" t="e">
        <f t="shared" si="2"/>
        <v>#DIV/0!</v>
      </c>
      <c r="N11" s="98"/>
      <c r="O11" s="99"/>
      <c r="P11" s="94"/>
      <c r="Q11" s="94"/>
      <c r="R11" s="94"/>
      <c r="S11" s="94"/>
      <c r="T11" s="100" t="e">
        <f t="shared" si="3"/>
        <v>#DIV/0!</v>
      </c>
      <c r="U11" s="94"/>
      <c r="V11" s="94"/>
      <c r="W11" s="94"/>
      <c r="X11" s="94"/>
      <c r="Y11" s="94"/>
      <c r="Z11" s="100" t="e">
        <f t="shared" si="4"/>
        <v>#DIV/0!</v>
      </c>
      <c r="AA11" s="99"/>
      <c r="AB11" s="94"/>
      <c r="AC11" s="94"/>
      <c r="AD11" s="94"/>
      <c r="AE11" s="94"/>
      <c r="AF11" s="100" t="e">
        <f t="shared" si="5"/>
        <v>#DIV/0!</v>
      </c>
      <c r="AG11" s="94"/>
      <c r="AH11" s="94"/>
      <c r="AI11" s="94"/>
      <c r="AJ11" s="94"/>
      <c r="AK11" s="94"/>
      <c r="AL11" s="100" t="e">
        <f t="shared" si="6"/>
        <v>#DIV/0!</v>
      </c>
      <c r="AM11" s="101"/>
      <c r="AN11" s="94"/>
      <c r="AO11" s="94"/>
      <c r="AP11" s="94"/>
      <c r="AQ11" s="94"/>
      <c r="AR11" s="100" t="e">
        <f t="shared" si="7"/>
        <v>#DIV/0!</v>
      </c>
      <c r="AS11" s="94"/>
      <c r="AT11" s="94"/>
      <c r="AU11" s="94"/>
      <c r="AV11" s="94"/>
      <c r="AW11" s="94"/>
      <c r="AX11" s="100" t="e">
        <f t="shared" si="8"/>
        <v>#DIV/0!</v>
      </c>
      <c r="AY11" s="94"/>
      <c r="AZ11" s="94"/>
      <c r="BA11" s="94"/>
      <c r="BB11" s="94"/>
      <c r="BC11" s="94"/>
      <c r="BD11" s="100" t="e">
        <f t="shared" si="9"/>
        <v>#DIV/0!</v>
      </c>
      <c r="BE11" s="94"/>
      <c r="BF11" s="94"/>
      <c r="BG11" s="94"/>
      <c r="BH11" s="94"/>
      <c r="BI11" s="94"/>
      <c r="BJ11" s="100" t="e">
        <f t="shared" si="10"/>
        <v>#DIV/0!</v>
      </c>
      <c r="BK11" s="102"/>
      <c r="BL11" s="94"/>
      <c r="BM11" s="94"/>
      <c r="BN11" s="94"/>
      <c r="BO11" s="94"/>
      <c r="BP11" s="94"/>
      <c r="BQ11" s="100">
        <f t="shared" si="11"/>
        <v>0</v>
      </c>
      <c r="BR11" s="94"/>
      <c r="BS11" s="94"/>
      <c r="BT11" s="94"/>
      <c r="BU11" s="94"/>
      <c r="BV11" s="94"/>
      <c r="BW11" s="100">
        <f t="shared" si="12"/>
        <v>0</v>
      </c>
      <c r="BX11" s="94"/>
      <c r="BY11" s="94"/>
      <c r="BZ11" s="94"/>
      <c r="CA11" s="94"/>
      <c r="CB11" s="94"/>
      <c r="CC11" s="100">
        <f t="shared" si="13"/>
        <v>0</v>
      </c>
      <c r="CD11" s="94"/>
      <c r="CE11" s="94"/>
      <c r="CF11" s="94"/>
      <c r="CG11" s="94"/>
      <c r="CH11" s="94"/>
      <c r="CI11" s="100">
        <f t="shared" si="14"/>
        <v>0</v>
      </c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</row>
    <row r="12" spans="1:117" ht="16" x14ac:dyDescent="0.2">
      <c r="A12" s="5" t="s">
        <v>765</v>
      </c>
      <c r="B12" s="5">
        <v>1</v>
      </c>
      <c r="C12" s="13" t="s">
        <v>764</v>
      </c>
      <c r="D12" s="5" t="s">
        <v>165</v>
      </c>
      <c r="E12" s="80"/>
      <c r="F12" s="82"/>
      <c r="G12" s="5">
        <v>1</v>
      </c>
      <c r="H12" s="5">
        <v>1</v>
      </c>
      <c r="I12" s="5">
        <v>1</v>
      </c>
      <c r="J12" s="5">
        <v>1</v>
      </c>
      <c r="K12" s="30">
        <f t="shared" si="0"/>
        <v>70</v>
      </c>
      <c r="L12" s="33">
        <f t="shared" si="1"/>
        <v>100</v>
      </c>
      <c r="M12" s="33">
        <f t="shared" si="2"/>
        <v>100</v>
      </c>
      <c r="N12" s="57">
        <v>15</v>
      </c>
      <c r="O12" s="44">
        <v>1</v>
      </c>
      <c r="P12" s="5">
        <v>1</v>
      </c>
      <c r="Q12" s="5">
        <v>1</v>
      </c>
      <c r="R12" s="5">
        <v>1</v>
      </c>
      <c r="S12" s="5">
        <v>1</v>
      </c>
      <c r="T12" s="48">
        <f t="shared" si="3"/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48">
        <f t="shared" si="4"/>
        <v>1</v>
      </c>
      <c r="AA12" s="44">
        <v>1</v>
      </c>
      <c r="AB12" s="5">
        <v>1</v>
      </c>
      <c r="AC12" s="5">
        <v>1</v>
      </c>
      <c r="AD12" s="5">
        <v>1</v>
      </c>
      <c r="AE12" s="5">
        <v>1</v>
      </c>
      <c r="AF12" s="48">
        <f t="shared" si="5"/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48">
        <f t="shared" si="6"/>
        <v>1</v>
      </c>
      <c r="AM12" s="34">
        <v>1</v>
      </c>
      <c r="AN12" s="5">
        <v>1</v>
      </c>
      <c r="AO12" s="5">
        <v>1</v>
      </c>
      <c r="AP12" s="5">
        <v>0</v>
      </c>
      <c r="AQ12" s="5">
        <v>0</v>
      </c>
      <c r="AR12" s="48">
        <f t="shared" si="7"/>
        <v>0.6</v>
      </c>
      <c r="AS12" s="5">
        <v>1</v>
      </c>
      <c r="AT12" s="5">
        <v>1</v>
      </c>
      <c r="AU12" s="5">
        <v>1</v>
      </c>
      <c r="AV12" s="5">
        <v>0</v>
      </c>
      <c r="AW12" s="5">
        <v>0</v>
      </c>
      <c r="AX12" s="48">
        <f t="shared" si="8"/>
        <v>0.6</v>
      </c>
      <c r="AY12" s="5">
        <v>0.75</v>
      </c>
      <c r="AZ12" s="5">
        <v>1</v>
      </c>
      <c r="BA12" s="5">
        <v>0.5</v>
      </c>
      <c r="BB12" s="5">
        <v>1</v>
      </c>
      <c r="BC12" s="5">
        <v>1</v>
      </c>
      <c r="BD12" s="48">
        <f t="shared" si="9"/>
        <v>0.85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48">
        <f t="shared" si="10"/>
        <v>0</v>
      </c>
      <c r="BK12" s="55"/>
      <c r="BL12" s="5"/>
      <c r="BM12" s="5"/>
      <c r="BN12" s="5"/>
      <c r="BO12" s="5"/>
      <c r="BP12" s="5"/>
      <c r="BQ12" s="48">
        <f t="shared" si="11"/>
        <v>0</v>
      </c>
      <c r="BR12" s="5"/>
      <c r="BS12" s="5"/>
      <c r="BT12" s="5"/>
      <c r="BU12" s="5"/>
      <c r="BV12" s="5"/>
      <c r="BW12" s="48">
        <f t="shared" si="12"/>
        <v>0</v>
      </c>
      <c r="BX12" s="5"/>
      <c r="BY12" s="5"/>
      <c r="BZ12" s="5"/>
      <c r="CA12" s="5"/>
      <c r="CB12" s="5"/>
      <c r="CC12" s="48">
        <f t="shared" si="13"/>
        <v>0</v>
      </c>
      <c r="CD12" s="5"/>
      <c r="CE12" s="5"/>
      <c r="CF12" s="5"/>
      <c r="CG12" s="5"/>
      <c r="CH12" s="5"/>
      <c r="CI12" s="48">
        <f t="shared" si="14"/>
        <v>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</row>
    <row r="13" spans="1:117" ht="16" x14ac:dyDescent="0.2">
      <c r="A13" s="7" t="s">
        <v>763</v>
      </c>
      <c r="B13" s="7">
        <v>1</v>
      </c>
      <c r="C13" s="14" t="s">
        <v>762</v>
      </c>
      <c r="D13" s="7" t="s">
        <v>165</v>
      </c>
      <c r="E13" s="80"/>
      <c r="F13" s="82"/>
      <c r="G13" s="7">
        <v>1</v>
      </c>
      <c r="H13" s="7">
        <v>1</v>
      </c>
      <c r="I13" s="7">
        <v>1</v>
      </c>
      <c r="J13" s="7">
        <v>1</v>
      </c>
      <c r="K13" s="30">
        <f t="shared" si="0"/>
        <v>70</v>
      </c>
      <c r="L13" s="33">
        <f t="shared" si="1"/>
        <v>100</v>
      </c>
      <c r="M13" s="33">
        <f t="shared" si="2"/>
        <v>104.5</v>
      </c>
      <c r="N13" s="57">
        <v>10</v>
      </c>
      <c r="O13" s="45">
        <v>1</v>
      </c>
      <c r="P13" s="7">
        <v>0.75</v>
      </c>
      <c r="Q13" s="7">
        <v>0.5</v>
      </c>
      <c r="R13" s="7">
        <v>0</v>
      </c>
      <c r="S13" s="7">
        <v>0</v>
      </c>
      <c r="T13" s="48">
        <f t="shared" si="3"/>
        <v>0.45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48">
        <f t="shared" si="4"/>
        <v>1</v>
      </c>
      <c r="AA13" s="45">
        <v>1</v>
      </c>
      <c r="AB13" s="7">
        <v>1</v>
      </c>
      <c r="AC13" s="7">
        <v>1</v>
      </c>
      <c r="AD13" s="7">
        <v>1</v>
      </c>
      <c r="AE13" s="7">
        <v>1</v>
      </c>
      <c r="AF13" s="48">
        <f t="shared" si="5"/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48">
        <f t="shared" si="6"/>
        <v>1</v>
      </c>
      <c r="AM13" s="35">
        <v>1</v>
      </c>
      <c r="AN13" s="7">
        <v>1</v>
      </c>
      <c r="AO13" s="7">
        <v>1</v>
      </c>
      <c r="AP13" s="7">
        <v>1</v>
      </c>
      <c r="AQ13" s="7">
        <v>1</v>
      </c>
      <c r="AR13" s="48">
        <f t="shared" si="7"/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48">
        <f t="shared" si="8"/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48">
        <f t="shared" si="9"/>
        <v>1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48">
        <f t="shared" si="10"/>
        <v>0</v>
      </c>
      <c r="BK13" s="55"/>
      <c r="BL13" s="7"/>
      <c r="BM13" s="7"/>
      <c r="BN13" s="7"/>
      <c r="BO13" s="7"/>
      <c r="BP13" s="7"/>
      <c r="BQ13" s="48">
        <f t="shared" si="11"/>
        <v>0</v>
      </c>
      <c r="BR13" s="7"/>
      <c r="BS13" s="7"/>
      <c r="BT13" s="7"/>
      <c r="BU13" s="7"/>
      <c r="BV13" s="7"/>
      <c r="BW13" s="48">
        <f t="shared" si="12"/>
        <v>0</v>
      </c>
      <c r="BX13" s="7"/>
      <c r="BY13" s="7"/>
      <c r="BZ13" s="7"/>
      <c r="CA13" s="7"/>
      <c r="CB13" s="7"/>
      <c r="CC13" s="48">
        <f t="shared" si="13"/>
        <v>0</v>
      </c>
      <c r="CD13" s="7"/>
      <c r="CE13" s="7"/>
      <c r="CF13" s="7"/>
      <c r="CG13" s="7"/>
      <c r="CH13" s="7"/>
      <c r="CI13" s="48">
        <f t="shared" si="14"/>
        <v>0</v>
      </c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</row>
    <row r="14" spans="1:117" s="103" customFormat="1" ht="16" x14ac:dyDescent="0.2">
      <c r="A14" s="94" t="s">
        <v>761</v>
      </c>
      <c r="B14" s="94">
        <v>1</v>
      </c>
      <c r="C14" s="95" t="s">
        <v>760</v>
      </c>
      <c r="D14" s="94" t="s">
        <v>165</v>
      </c>
      <c r="E14" s="80"/>
      <c r="F14" s="82"/>
      <c r="G14" s="94">
        <v>1</v>
      </c>
      <c r="H14" s="94">
        <v>1</v>
      </c>
      <c r="I14" s="94">
        <v>1</v>
      </c>
      <c r="J14" s="94">
        <v>1</v>
      </c>
      <c r="K14" s="96" t="e">
        <f t="shared" si="0"/>
        <v>#DIV/0!</v>
      </c>
      <c r="L14" s="97" t="e">
        <f t="shared" si="1"/>
        <v>#DIV/0!</v>
      </c>
      <c r="M14" s="97" t="e">
        <f t="shared" si="2"/>
        <v>#DIV/0!</v>
      </c>
      <c r="N14" s="98"/>
      <c r="O14" s="99"/>
      <c r="P14" s="94"/>
      <c r="Q14" s="94"/>
      <c r="R14" s="94"/>
      <c r="S14" s="94"/>
      <c r="T14" s="100" t="e">
        <f t="shared" si="3"/>
        <v>#DIV/0!</v>
      </c>
      <c r="U14" s="94"/>
      <c r="V14" s="94"/>
      <c r="W14" s="94"/>
      <c r="X14" s="94"/>
      <c r="Y14" s="94"/>
      <c r="Z14" s="100" t="e">
        <f t="shared" si="4"/>
        <v>#DIV/0!</v>
      </c>
      <c r="AA14" s="99"/>
      <c r="AB14" s="94"/>
      <c r="AC14" s="94"/>
      <c r="AD14" s="94"/>
      <c r="AE14" s="94"/>
      <c r="AF14" s="100" t="e">
        <f t="shared" si="5"/>
        <v>#DIV/0!</v>
      </c>
      <c r="AG14" s="94"/>
      <c r="AH14" s="94"/>
      <c r="AI14" s="94"/>
      <c r="AJ14" s="94"/>
      <c r="AK14" s="94"/>
      <c r="AL14" s="100" t="e">
        <f t="shared" si="6"/>
        <v>#DIV/0!</v>
      </c>
      <c r="AM14" s="101"/>
      <c r="AN14" s="94"/>
      <c r="AO14" s="94"/>
      <c r="AP14" s="94"/>
      <c r="AQ14" s="94"/>
      <c r="AR14" s="100" t="e">
        <f t="shared" si="7"/>
        <v>#DIV/0!</v>
      </c>
      <c r="AS14" s="94"/>
      <c r="AT14" s="94"/>
      <c r="AU14" s="94"/>
      <c r="AV14" s="94"/>
      <c r="AW14" s="94"/>
      <c r="AX14" s="100" t="e">
        <f t="shared" si="8"/>
        <v>#DIV/0!</v>
      </c>
      <c r="AY14" s="94"/>
      <c r="AZ14" s="94"/>
      <c r="BA14" s="94"/>
      <c r="BB14" s="94"/>
      <c r="BC14" s="94"/>
      <c r="BD14" s="100" t="e">
        <f t="shared" si="9"/>
        <v>#DIV/0!</v>
      </c>
      <c r="BE14" s="94"/>
      <c r="BF14" s="94"/>
      <c r="BG14" s="94"/>
      <c r="BH14" s="94"/>
      <c r="BI14" s="94"/>
      <c r="BJ14" s="100" t="e">
        <f t="shared" si="10"/>
        <v>#DIV/0!</v>
      </c>
      <c r="BK14" s="102"/>
      <c r="BL14" s="94"/>
      <c r="BM14" s="94"/>
      <c r="BN14" s="94"/>
      <c r="BO14" s="94"/>
      <c r="BP14" s="94"/>
      <c r="BQ14" s="100">
        <f t="shared" si="11"/>
        <v>0</v>
      </c>
      <c r="BR14" s="94"/>
      <c r="BS14" s="94"/>
      <c r="BT14" s="94"/>
      <c r="BU14" s="94"/>
      <c r="BV14" s="94"/>
      <c r="BW14" s="100">
        <f t="shared" si="12"/>
        <v>0</v>
      </c>
      <c r="BX14" s="94"/>
      <c r="BY14" s="94"/>
      <c r="BZ14" s="94"/>
      <c r="CA14" s="94"/>
      <c r="CB14" s="94"/>
      <c r="CC14" s="100">
        <f t="shared" si="13"/>
        <v>0</v>
      </c>
      <c r="CD14" s="94"/>
      <c r="CE14" s="94"/>
      <c r="CF14" s="94"/>
      <c r="CG14" s="94"/>
      <c r="CH14" s="94"/>
      <c r="CI14" s="100">
        <f t="shared" si="14"/>
        <v>0</v>
      </c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</row>
    <row r="15" spans="1:117" ht="16" x14ac:dyDescent="0.2">
      <c r="A15" s="7" t="s">
        <v>759</v>
      </c>
      <c r="B15" s="7">
        <v>1</v>
      </c>
      <c r="C15" s="14" t="s">
        <v>758</v>
      </c>
      <c r="D15" s="7" t="s">
        <v>165</v>
      </c>
      <c r="E15" s="80"/>
      <c r="F15" s="82"/>
      <c r="G15" s="7">
        <v>1</v>
      </c>
      <c r="H15" s="7">
        <v>1</v>
      </c>
      <c r="I15" s="7">
        <v>1</v>
      </c>
      <c r="J15" s="7">
        <v>1</v>
      </c>
      <c r="K15" s="30">
        <f t="shared" si="0"/>
        <v>70</v>
      </c>
      <c r="L15" s="33">
        <f t="shared" si="1"/>
        <v>100</v>
      </c>
      <c r="M15" s="33">
        <f t="shared" si="2"/>
        <v>120</v>
      </c>
      <c r="N15" s="57"/>
      <c r="O15" s="45">
        <v>1</v>
      </c>
      <c r="P15" s="7">
        <v>1</v>
      </c>
      <c r="Q15" s="7">
        <v>1</v>
      </c>
      <c r="R15" s="7">
        <v>1</v>
      </c>
      <c r="S15" s="7">
        <v>1</v>
      </c>
      <c r="T15" s="48">
        <f t="shared" si="3"/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48">
        <f t="shared" si="4"/>
        <v>1</v>
      </c>
      <c r="AA15" s="45">
        <v>1</v>
      </c>
      <c r="AB15" s="7">
        <v>1</v>
      </c>
      <c r="AC15" s="7">
        <v>1</v>
      </c>
      <c r="AD15" s="7">
        <v>1</v>
      </c>
      <c r="AE15" s="7">
        <v>1</v>
      </c>
      <c r="AF15" s="48">
        <f t="shared" si="5"/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48">
        <f t="shared" si="6"/>
        <v>1</v>
      </c>
      <c r="AM15" s="35">
        <v>1</v>
      </c>
      <c r="AN15" s="7">
        <v>1</v>
      </c>
      <c r="AO15" s="7">
        <v>1</v>
      </c>
      <c r="AP15" s="7">
        <v>1</v>
      </c>
      <c r="AQ15" s="7">
        <v>1</v>
      </c>
      <c r="AR15" s="48">
        <f t="shared" si="7"/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48">
        <f t="shared" si="8"/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48">
        <f t="shared" si="9"/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48">
        <f t="shared" si="10"/>
        <v>1</v>
      </c>
      <c r="BK15" s="55"/>
      <c r="BL15" s="7"/>
      <c r="BM15" s="7"/>
      <c r="BN15" s="7"/>
      <c r="BO15" s="7"/>
      <c r="BP15" s="7"/>
      <c r="BQ15" s="48">
        <f t="shared" si="11"/>
        <v>0</v>
      </c>
      <c r="BR15" s="7"/>
      <c r="BS15" s="7"/>
      <c r="BT15" s="7"/>
      <c r="BU15" s="7"/>
      <c r="BV15" s="7"/>
      <c r="BW15" s="48">
        <f t="shared" si="12"/>
        <v>0</v>
      </c>
      <c r="BX15" s="7"/>
      <c r="BY15" s="7"/>
      <c r="BZ15" s="7"/>
      <c r="CA15" s="7"/>
      <c r="CB15" s="7"/>
      <c r="CC15" s="48">
        <f t="shared" si="13"/>
        <v>0</v>
      </c>
      <c r="CD15" s="7"/>
      <c r="CE15" s="7"/>
      <c r="CF15" s="7"/>
      <c r="CG15" s="7"/>
      <c r="CH15" s="7"/>
      <c r="CI15" s="48">
        <f t="shared" si="14"/>
        <v>0</v>
      </c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</row>
    <row r="16" spans="1:117" s="103" customFormat="1" ht="16" x14ac:dyDescent="0.2">
      <c r="A16" s="94" t="s">
        <v>757</v>
      </c>
      <c r="B16" s="94">
        <v>1</v>
      </c>
      <c r="C16" s="95" t="s">
        <v>756</v>
      </c>
      <c r="D16" s="94" t="s">
        <v>165</v>
      </c>
      <c r="E16" s="80"/>
      <c r="F16" s="82"/>
      <c r="G16" s="94"/>
      <c r="H16" s="94"/>
      <c r="I16" s="94"/>
      <c r="J16" s="94"/>
      <c r="K16" s="96" t="e">
        <f t="shared" si="0"/>
        <v>#DIV/0!</v>
      </c>
      <c r="L16" s="97" t="e">
        <f t="shared" si="1"/>
        <v>#DIV/0!</v>
      </c>
      <c r="M16" s="97" t="e">
        <f t="shared" si="2"/>
        <v>#DIV/0!</v>
      </c>
      <c r="N16" s="98"/>
      <c r="O16" s="99"/>
      <c r="P16" s="94"/>
      <c r="Q16" s="94"/>
      <c r="R16" s="94"/>
      <c r="S16" s="94"/>
      <c r="T16" s="100" t="e">
        <f t="shared" si="3"/>
        <v>#DIV/0!</v>
      </c>
      <c r="U16" s="94"/>
      <c r="V16" s="94"/>
      <c r="W16" s="94"/>
      <c r="X16" s="94"/>
      <c r="Y16" s="94"/>
      <c r="Z16" s="100" t="e">
        <f t="shared" si="4"/>
        <v>#DIV/0!</v>
      </c>
      <c r="AA16" s="99"/>
      <c r="AB16" s="94"/>
      <c r="AC16" s="94"/>
      <c r="AD16" s="94"/>
      <c r="AE16" s="94"/>
      <c r="AF16" s="100" t="e">
        <f t="shared" si="5"/>
        <v>#DIV/0!</v>
      </c>
      <c r="AG16" s="94"/>
      <c r="AH16" s="94"/>
      <c r="AI16" s="94"/>
      <c r="AJ16" s="94"/>
      <c r="AK16" s="94"/>
      <c r="AL16" s="100" t="e">
        <f t="shared" si="6"/>
        <v>#DIV/0!</v>
      </c>
      <c r="AM16" s="101"/>
      <c r="AN16" s="94"/>
      <c r="AO16" s="94"/>
      <c r="AP16" s="94"/>
      <c r="AQ16" s="94"/>
      <c r="AR16" s="100" t="e">
        <f t="shared" si="7"/>
        <v>#DIV/0!</v>
      </c>
      <c r="AS16" s="94"/>
      <c r="AT16" s="94"/>
      <c r="AU16" s="94"/>
      <c r="AV16" s="94"/>
      <c r="AW16" s="94"/>
      <c r="AX16" s="100" t="e">
        <f t="shared" si="8"/>
        <v>#DIV/0!</v>
      </c>
      <c r="AY16" s="94"/>
      <c r="AZ16" s="94"/>
      <c r="BA16" s="94"/>
      <c r="BB16" s="94"/>
      <c r="BC16" s="94"/>
      <c r="BD16" s="100" t="e">
        <f t="shared" si="9"/>
        <v>#DIV/0!</v>
      </c>
      <c r="BE16" s="94"/>
      <c r="BF16" s="94"/>
      <c r="BG16" s="94"/>
      <c r="BH16" s="94"/>
      <c r="BI16" s="94"/>
      <c r="BJ16" s="100" t="e">
        <f t="shared" si="10"/>
        <v>#DIV/0!</v>
      </c>
      <c r="BK16" s="102"/>
      <c r="BL16" s="94"/>
      <c r="BM16" s="94"/>
      <c r="BN16" s="94"/>
      <c r="BO16" s="94"/>
      <c r="BP16" s="94"/>
      <c r="BQ16" s="100">
        <f t="shared" si="11"/>
        <v>0</v>
      </c>
      <c r="BR16" s="94"/>
      <c r="BS16" s="94"/>
      <c r="BT16" s="94"/>
      <c r="BU16" s="94"/>
      <c r="BV16" s="94"/>
      <c r="BW16" s="100">
        <f t="shared" si="12"/>
        <v>0</v>
      </c>
      <c r="BX16" s="94"/>
      <c r="BY16" s="94"/>
      <c r="BZ16" s="94"/>
      <c r="CA16" s="94"/>
      <c r="CB16" s="94"/>
      <c r="CC16" s="100">
        <f t="shared" si="13"/>
        <v>0</v>
      </c>
      <c r="CD16" s="94"/>
      <c r="CE16" s="94"/>
      <c r="CF16" s="94"/>
      <c r="CG16" s="94"/>
      <c r="CH16" s="94"/>
      <c r="CI16" s="100">
        <f t="shared" si="14"/>
        <v>0</v>
      </c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</row>
    <row r="17" spans="1:117" ht="16" x14ac:dyDescent="0.2">
      <c r="A17" s="7" t="s">
        <v>755</v>
      </c>
      <c r="B17" s="7">
        <v>1</v>
      </c>
      <c r="C17" s="14" t="s">
        <v>754</v>
      </c>
      <c r="D17" s="7" t="s">
        <v>165</v>
      </c>
      <c r="E17" s="80"/>
      <c r="F17" s="82"/>
      <c r="G17" s="7">
        <v>1</v>
      </c>
      <c r="H17" s="7">
        <v>1</v>
      </c>
      <c r="I17" s="7">
        <v>1</v>
      </c>
      <c r="J17" s="7">
        <v>1</v>
      </c>
      <c r="K17" s="30" t="e">
        <f t="shared" si="0"/>
        <v>#DIV/0!</v>
      </c>
      <c r="L17" s="33" t="e">
        <f t="shared" si="1"/>
        <v>#DIV/0!</v>
      </c>
      <c r="M17" s="33" t="e">
        <f t="shared" si="2"/>
        <v>#DIV/0!</v>
      </c>
      <c r="N17" s="57">
        <v>9.75</v>
      </c>
      <c r="O17" s="45"/>
      <c r="P17" s="7"/>
      <c r="Q17" s="7"/>
      <c r="R17" s="7"/>
      <c r="S17" s="7"/>
      <c r="T17" s="48" t="e">
        <f t="shared" si="3"/>
        <v>#DIV/0!</v>
      </c>
      <c r="U17" s="7"/>
      <c r="V17" s="7"/>
      <c r="W17" s="7"/>
      <c r="X17" s="7"/>
      <c r="Y17" s="7"/>
      <c r="Z17" s="48" t="e">
        <f t="shared" si="4"/>
        <v>#DIV/0!</v>
      </c>
      <c r="AA17" s="45"/>
      <c r="AB17" s="7"/>
      <c r="AC17" s="7"/>
      <c r="AD17" s="7"/>
      <c r="AE17" s="7"/>
      <c r="AF17" s="48" t="e">
        <f t="shared" si="5"/>
        <v>#DIV/0!</v>
      </c>
      <c r="AG17" s="7"/>
      <c r="AH17" s="7"/>
      <c r="AI17" s="7"/>
      <c r="AJ17" s="7"/>
      <c r="AK17" s="7"/>
      <c r="AL17" s="48" t="e">
        <f t="shared" si="6"/>
        <v>#DIV/0!</v>
      </c>
      <c r="AM17" s="35"/>
      <c r="AN17" s="7"/>
      <c r="AO17" s="7"/>
      <c r="AP17" s="7"/>
      <c r="AQ17" s="7"/>
      <c r="AR17" s="48" t="e">
        <f t="shared" si="7"/>
        <v>#DIV/0!</v>
      </c>
      <c r="AS17" s="7"/>
      <c r="AT17" s="7"/>
      <c r="AU17" s="7"/>
      <c r="AV17" s="7"/>
      <c r="AW17" s="7"/>
      <c r="AX17" s="48" t="e">
        <f t="shared" si="8"/>
        <v>#DIV/0!</v>
      </c>
      <c r="AY17" s="7"/>
      <c r="AZ17" s="7"/>
      <c r="BA17" s="7"/>
      <c r="BB17" s="7"/>
      <c r="BC17" s="7"/>
      <c r="BD17" s="48" t="e">
        <f t="shared" si="9"/>
        <v>#DIV/0!</v>
      </c>
      <c r="BE17" s="7"/>
      <c r="BF17" s="7"/>
      <c r="BG17" s="7"/>
      <c r="BH17" s="7"/>
      <c r="BI17" s="7"/>
      <c r="BJ17" s="48" t="e">
        <f t="shared" si="10"/>
        <v>#DIV/0!</v>
      </c>
      <c r="BK17" s="55"/>
      <c r="BL17" s="7"/>
      <c r="BM17" s="7"/>
      <c r="BN17" s="7"/>
      <c r="BO17" s="7"/>
      <c r="BP17" s="7"/>
      <c r="BQ17" s="48">
        <f>SUM(BL17:BP17)/5*15</f>
        <v>0</v>
      </c>
      <c r="BR17" s="7"/>
      <c r="BS17" s="7"/>
      <c r="BT17" s="7"/>
      <c r="BU17" s="7"/>
      <c r="BV17" s="7"/>
      <c r="BW17" s="48">
        <f t="shared" si="12"/>
        <v>0</v>
      </c>
      <c r="BX17" s="7"/>
      <c r="BY17" s="7"/>
      <c r="BZ17" s="7"/>
      <c r="CA17" s="7"/>
      <c r="CB17" s="7"/>
      <c r="CC17" s="48">
        <f t="shared" si="13"/>
        <v>0</v>
      </c>
      <c r="CD17" s="7"/>
      <c r="CE17" s="7"/>
      <c r="CF17" s="7"/>
      <c r="CG17" s="7"/>
      <c r="CH17" s="7"/>
      <c r="CI17" s="48">
        <f t="shared" si="14"/>
        <v>0</v>
      </c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</row>
    <row r="18" spans="1:117" s="103" customFormat="1" ht="16" x14ac:dyDescent="0.2">
      <c r="A18" s="94" t="s">
        <v>753</v>
      </c>
      <c r="B18" s="94">
        <v>1</v>
      </c>
      <c r="C18" s="95" t="s">
        <v>752</v>
      </c>
      <c r="D18" s="94" t="s">
        <v>165</v>
      </c>
      <c r="E18" s="80"/>
      <c r="F18" s="82"/>
      <c r="G18" s="94"/>
      <c r="H18" s="94"/>
      <c r="I18" s="94"/>
      <c r="J18" s="94"/>
      <c r="K18" s="96" t="e">
        <f t="shared" si="0"/>
        <v>#DIV/0!</v>
      </c>
      <c r="L18" s="97" t="e">
        <f t="shared" si="1"/>
        <v>#DIV/0!</v>
      </c>
      <c r="M18" s="97" t="e">
        <f t="shared" si="2"/>
        <v>#DIV/0!</v>
      </c>
      <c r="N18" s="98"/>
      <c r="O18" s="99"/>
      <c r="P18" s="94"/>
      <c r="Q18" s="94"/>
      <c r="R18" s="94"/>
      <c r="S18" s="94"/>
      <c r="T18" s="100" t="e">
        <f t="shared" si="3"/>
        <v>#DIV/0!</v>
      </c>
      <c r="U18" s="94"/>
      <c r="V18" s="94"/>
      <c r="W18" s="94"/>
      <c r="X18" s="94"/>
      <c r="Y18" s="94"/>
      <c r="Z18" s="100" t="e">
        <f t="shared" si="4"/>
        <v>#DIV/0!</v>
      </c>
      <c r="AA18" s="99"/>
      <c r="AB18" s="94"/>
      <c r="AC18" s="94"/>
      <c r="AD18" s="94"/>
      <c r="AE18" s="94"/>
      <c r="AF18" s="100" t="e">
        <f t="shared" si="5"/>
        <v>#DIV/0!</v>
      </c>
      <c r="AG18" s="94"/>
      <c r="AH18" s="94"/>
      <c r="AI18" s="94"/>
      <c r="AJ18" s="94"/>
      <c r="AK18" s="94"/>
      <c r="AL18" s="100" t="e">
        <f t="shared" si="6"/>
        <v>#DIV/0!</v>
      </c>
      <c r="AM18" s="101"/>
      <c r="AN18" s="94"/>
      <c r="AO18" s="94"/>
      <c r="AP18" s="94"/>
      <c r="AQ18" s="94"/>
      <c r="AR18" s="100" t="e">
        <f t="shared" si="7"/>
        <v>#DIV/0!</v>
      </c>
      <c r="AS18" s="94"/>
      <c r="AT18" s="94"/>
      <c r="AU18" s="94"/>
      <c r="AV18" s="94"/>
      <c r="AW18" s="94"/>
      <c r="AX18" s="100" t="e">
        <f t="shared" si="8"/>
        <v>#DIV/0!</v>
      </c>
      <c r="AY18" s="94"/>
      <c r="AZ18" s="94"/>
      <c r="BA18" s="94"/>
      <c r="BB18" s="94"/>
      <c r="BC18" s="94"/>
      <c r="BD18" s="100" t="e">
        <f t="shared" si="9"/>
        <v>#DIV/0!</v>
      </c>
      <c r="BE18" s="94"/>
      <c r="BF18" s="94"/>
      <c r="BG18" s="94"/>
      <c r="BH18" s="94"/>
      <c r="BI18" s="94"/>
      <c r="BJ18" s="100" t="e">
        <f t="shared" si="10"/>
        <v>#DIV/0!</v>
      </c>
      <c r="BK18" s="102"/>
      <c r="BL18" s="94"/>
      <c r="BM18" s="94"/>
      <c r="BN18" s="94"/>
      <c r="BO18" s="94"/>
      <c r="BP18" s="94"/>
      <c r="BQ18" s="100">
        <f t="shared" si="11"/>
        <v>0</v>
      </c>
      <c r="BR18" s="94"/>
      <c r="BS18" s="94"/>
      <c r="BT18" s="94"/>
      <c r="BU18" s="94"/>
      <c r="BV18" s="94"/>
      <c r="BW18" s="100">
        <f t="shared" si="12"/>
        <v>0</v>
      </c>
      <c r="BX18" s="94"/>
      <c r="BY18" s="94"/>
      <c r="BZ18" s="94"/>
      <c r="CA18" s="94"/>
      <c r="CB18" s="94"/>
      <c r="CC18" s="100">
        <f t="shared" si="13"/>
        <v>0</v>
      </c>
      <c r="CD18" s="94"/>
      <c r="CE18" s="94"/>
      <c r="CF18" s="94"/>
      <c r="CG18" s="94"/>
      <c r="CH18" s="94"/>
      <c r="CI18" s="100">
        <f t="shared" si="14"/>
        <v>0</v>
      </c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</row>
    <row r="19" spans="1:117" ht="16" x14ac:dyDescent="0.2">
      <c r="A19" s="7" t="s">
        <v>751</v>
      </c>
      <c r="B19" s="7">
        <v>1</v>
      </c>
      <c r="C19" s="14" t="s">
        <v>750</v>
      </c>
      <c r="D19" s="7" t="s">
        <v>165</v>
      </c>
      <c r="E19" s="80"/>
      <c r="F19" s="82"/>
      <c r="G19" s="7">
        <v>1</v>
      </c>
      <c r="H19" s="7">
        <v>1</v>
      </c>
      <c r="I19" s="7">
        <v>1</v>
      </c>
      <c r="J19" s="7">
        <v>1</v>
      </c>
      <c r="K19" s="30">
        <f t="shared" si="0"/>
        <v>17.849999999999998</v>
      </c>
      <c r="L19" s="33">
        <f t="shared" si="1"/>
        <v>25.5</v>
      </c>
      <c r="M19" s="33">
        <f t="shared" si="2"/>
        <v>25.5</v>
      </c>
      <c r="N19" s="57">
        <v>24</v>
      </c>
      <c r="O19" s="45">
        <v>0</v>
      </c>
      <c r="P19" s="7">
        <v>0</v>
      </c>
      <c r="Q19" s="7">
        <v>0</v>
      </c>
      <c r="R19" s="7">
        <v>0</v>
      </c>
      <c r="S19" s="7">
        <v>0</v>
      </c>
      <c r="T19" s="48">
        <f t="shared" si="3"/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48">
        <f t="shared" si="4"/>
        <v>0</v>
      </c>
      <c r="AA19" s="45">
        <v>0</v>
      </c>
      <c r="AB19" s="7">
        <v>0</v>
      </c>
      <c r="AC19" s="7">
        <v>0</v>
      </c>
      <c r="AD19" s="7">
        <v>0</v>
      </c>
      <c r="AE19" s="7">
        <v>0</v>
      </c>
      <c r="AF19" s="48">
        <f t="shared" si="5"/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48">
        <f t="shared" si="6"/>
        <v>0</v>
      </c>
      <c r="AM19" s="35">
        <v>0</v>
      </c>
      <c r="AN19" s="7">
        <v>0</v>
      </c>
      <c r="AO19" s="7">
        <v>0</v>
      </c>
      <c r="AP19" s="7">
        <v>0</v>
      </c>
      <c r="AQ19" s="7">
        <v>0</v>
      </c>
      <c r="AR19" s="48">
        <f t="shared" si="7"/>
        <v>0</v>
      </c>
      <c r="AS19" s="7">
        <v>0.5</v>
      </c>
      <c r="AT19" s="7">
        <v>0</v>
      </c>
      <c r="AU19" s="7">
        <v>0</v>
      </c>
      <c r="AV19" s="7">
        <v>0</v>
      </c>
      <c r="AW19" s="7">
        <v>0</v>
      </c>
      <c r="AX19" s="48">
        <f t="shared" si="8"/>
        <v>0.1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48">
        <f t="shared" si="9"/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48">
        <f t="shared" si="10"/>
        <v>0</v>
      </c>
      <c r="BK19" s="55"/>
      <c r="BL19" s="7"/>
      <c r="BM19" s="7"/>
      <c r="BN19" s="7"/>
      <c r="BO19" s="7"/>
      <c r="BP19" s="7"/>
      <c r="BQ19" s="48">
        <f t="shared" si="11"/>
        <v>0</v>
      </c>
      <c r="BR19" s="7"/>
      <c r="BS19" s="7"/>
      <c r="BT19" s="7"/>
      <c r="BU19" s="7"/>
      <c r="BV19" s="7"/>
      <c r="BW19" s="48">
        <f>SUM(BR19:BV19)/5*15</f>
        <v>0</v>
      </c>
      <c r="BX19" s="7"/>
      <c r="BY19" s="7"/>
      <c r="BZ19" s="7"/>
      <c r="CA19" s="7"/>
      <c r="CB19" s="7"/>
      <c r="CC19" s="48">
        <f t="shared" si="13"/>
        <v>0</v>
      </c>
      <c r="CD19" s="7"/>
      <c r="CE19" s="7"/>
      <c r="CF19" s="7"/>
      <c r="CG19" s="7"/>
      <c r="CH19" s="7"/>
      <c r="CI19" s="48">
        <f t="shared" si="14"/>
        <v>0</v>
      </c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</row>
    <row r="20" spans="1:117" ht="16" x14ac:dyDescent="0.2">
      <c r="A20" s="5" t="s">
        <v>749</v>
      </c>
      <c r="B20" s="5">
        <v>1</v>
      </c>
      <c r="C20" s="13" t="s">
        <v>748</v>
      </c>
      <c r="D20" s="5" t="s">
        <v>165</v>
      </c>
      <c r="E20" s="80"/>
      <c r="F20" s="82"/>
      <c r="G20" s="5">
        <v>1</v>
      </c>
      <c r="H20" s="5">
        <v>1</v>
      </c>
      <c r="I20" s="5">
        <v>1</v>
      </c>
      <c r="J20" s="5">
        <v>1</v>
      </c>
      <c r="K20" s="30">
        <f t="shared" si="0"/>
        <v>70</v>
      </c>
      <c r="L20" s="33">
        <f t="shared" si="1"/>
        <v>100</v>
      </c>
      <c r="M20" s="33">
        <f t="shared" si="2"/>
        <v>112</v>
      </c>
      <c r="N20" s="57"/>
      <c r="O20" s="44">
        <v>1</v>
      </c>
      <c r="P20" s="5">
        <v>1</v>
      </c>
      <c r="Q20" s="5">
        <v>1</v>
      </c>
      <c r="R20" s="5">
        <v>1</v>
      </c>
      <c r="S20" s="5">
        <v>1</v>
      </c>
      <c r="T20" s="48">
        <f t="shared" si="3"/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48">
        <f t="shared" si="4"/>
        <v>1</v>
      </c>
      <c r="AA20" s="44">
        <v>1</v>
      </c>
      <c r="AB20" s="5">
        <v>1</v>
      </c>
      <c r="AC20" s="5">
        <v>1</v>
      </c>
      <c r="AD20" s="5">
        <v>1</v>
      </c>
      <c r="AE20" s="5">
        <v>1</v>
      </c>
      <c r="AF20" s="48">
        <f t="shared" si="5"/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48">
        <f t="shared" si="6"/>
        <v>1</v>
      </c>
      <c r="AM20" s="34">
        <v>1</v>
      </c>
      <c r="AN20" s="5">
        <v>1</v>
      </c>
      <c r="AO20" s="5">
        <v>1</v>
      </c>
      <c r="AP20" s="5">
        <v>1</v>
      </c>
      <c r="AQ20" s="5">
        <v>1</v>
      </c>
      <c r="AR20" s="48">
        <f t="shared" si="7"/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48">
        <f t="shared" si="8"/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48">
        <f t="shared" si="9"/>
        <v>1</v>
      </c>
      <c r="BE20" s="5">
        <v>1</v>
      </c>
      <c r="BF20" s="5">
        <v>1</v>
      </c>
      <c r="BG20" s="5">
        <v>1</v>
      </c>
      <c r="BH20" s="5">
        <v>0</v>
      </c>
      <c r="BI20" s="5">
        <v>0</v>
      </c>
      <c r="BJ20" s="48">
        <f t="shared" si="10"/>
        <v>0.6</v>
      </c>
      <c r="BK20" s="55"/>
      <c r="BL20" s="5"/>
      <c r="BM20" s="5"/>
      <c r="BN20" s="5"/>
      <c r="BO20" s="5"/>
      <c r="BP20" s="5"/>
      <c r="BQ20" s="48">
        <f t="shared" si="11"/>
        <v>0</v>
      </c>
      <c r="BR20" s="5"/>
      <c r="BS20" s="5"/>
      <c r="BT20" s="5"/>
      <c r="BU20" s="5"/>
      <c r="BV20" s="5"/>
      <c r="BW20" s="48">
        <f t="shared" si="12"/>
        <v>0</v>
      </c>
      <c r="BX20" s="5"/>
      <c r="BY20" s="5"/>
      <c r="BZ20" s="5"/>
      <c r="CA20" s="5"/>
      <c r="CB20" s="5"/>
      <c r="CC20" s="48">
        <f t="shared" si="13"/>
        <v>0</v>
      </c>
      <c r="CD20" s="5"/>
      <c r="CE20" s="5"/>
      <c r="CF20" s="5"/>
      <c r="CG20" s="5"/>
      <c r="CH20" s="5"/>
      <c r="CI20" s="48">
        <f t="shared" si="14"/>
        <v>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</row>
    <row r="21" spans="1:117" ht="16" x14ac:dyDescent="0.2">
      <c r="A21" s="7" t="s">
        <v>747</v>
      </c>
      <c r="B21" s="7">
        <v>1</v>
      </c>
      <c r="C21" s="14" t="s">
        <v>746</v>
      </c>
      <c r="D21" s="7" t="s">
        <v>165</v>
      </c>
      <c r="E21" s="80"/>
      <c r="F21" s="82"/>
      <c r="G21" s="7">
        <v>1</v>
      </c>
      <c r="H21" s="7">
        <v>1</v>
      </c>
      <c r="I21" s="7">
        <v>1</v>
      </c>
      <c r="J21" s="7">
        <v>1</v>
      </c>
      <c r="K21" s="30">
        <f t="shared" si="0"/>
        <v>70</v>
      </c>
      <c r="L21" s="33">
        <f t="shared" si="1"/>
        <v>100</v>
      </c>
      <c r="M21" s="33">
        <f t="shared" si="2"/>
        <v>104.80000000000001</v>
      </c>
      <c r="N21" s="57"/>
      <c r="O21" s="45">
        <v>1</v>
      </c>
      <c r="P21" s="7">
        <v>1</v>
      </c>
      <c r="Q21" s="7">
        <v>1</v>
      </c>
      <c r="R21" s="7">
        <v>1</v>
      </c>
      <c r="S21" s="7">
        <v>1</v>
      </c>
      <c r="T21" s="48">
        <f t="shared" si="3"/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48">
        <f t="shared" si="4"/>
        <v>1</v>
      </c>
      <c r="AA21" s="45">
        <v>1</v>
      </c>
      <c r="AB21" s="7">
        <v>1</v>
      </c>
      <c r="AC21" s="7">
        <v>1</v>
      </c>
      <c r="AD21" s="7">
        <v>1</v>
      </c>
      <c r="AE21" s="7">
        <v>1</v>
      </c>
      <c r="AF21" s="48">
        <f t="shared" si="5"/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48">
        <f t="shared" si="6"/>
        <v>1</v>
      </c>
      <c r="AM21" s="35">
        <v>1</v>
      </c>
      <c r="AN21" s="7">
        <v>1</v>
      </c>
      <c r="AO21" s="7">
        <v>1</v>
      </c>
      <c r="AP21" s="7">
        <v>1</v>
      </c>
      <c r="AQ21" s="7">
        <v>1</v>
      </c>
      <c r="AR21" s="48">
        <f t="shared" si="7"/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48">
        <f t="shared" si="8"/>
        <v>1</v>
      </c>
      <c r="AY21" s="7">
        <v>0.8</v>
      </c>
      <c r="AZ21" s="7">
        <v>0.8</v>
      </c>
      <c r="BA21" s="7">
        <v>0.5</v>
      </c>
      <c r="BB21" s="7">
        <v>0.5</v>
      </c>
      <c r="BC21" s="7">
        <v>0.5</v>
      </c>
      <c r="BD21" s="48">
        <f t="shared" si="9"/>
        <v>0.62</v>
      </c>
      <c r="BE21" s="7">
        <v>0.8</v>
      </c>
      <c r="BF21" s="7">
        <v>0.8</v>
      </c>
      <c r="BG21" s="7">
        <v>0.5</v>
      </c>
      <c r="BH21" s="7">
        <v>0.5</v>
      </c>
      <c r="BI21" s="7">
        <v>0.5</v>
      </c>
      <c r="BJ21" s="48">
        <f t="shared" si="10"/>
        <v>0.62</v>
      </c>
      <c r="BK21" s="55"/>
      <c r="BL21" s="7"/>
      <c r="BM21" s="7"/>
      <c r="BN21" s="7"/>
      <c r="BO21" s="7"/>
      <c r="BP21" s="7"/>
      <c r="BQ21" s="48">
        <f t="shared" si="11"/>
        <v>0</v>
      </c>
      <c r="BR21" s="7"/>
      <c r="BS21" s="7"/>
      <c r="BT21" s="7"/>
      <c r="BU21" s="7"/>
      <c r="BV21" s="7"/>
      <c r="BW21" s="48">
        <f t="shared" si="12"/>
        <v>0</v>
      </c>
      <c r="BX21" s="7"/>
      <c r="BY21" s="7"/>
      <c r="BZ21" s="7"/>
      <c r="CA21" s="7"/>
      <c r="CB21" s="7"/>
      <c r="CC21" s="48">
        <f t="shared" si="13"/>
        <v>0</v>
      </c>
      <c r="CD21" s="7"/>
      <c r="CE21" s="7"/>
      <c r="CF21" s="7"/>
      <c r="CG21" s="7"/>
      <c r="CH21" s="7"/>
      <c r="CI21" s="48">
        <f t="shared" si="14"/>
        <v>0</v>
      </c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</row>
    <row r="22" spans="1:117" s="103" customFormat="1" ht="16" x14ac:dyDescent="0.2">
      <c r="A22" s="94" t="s">
        <v>745</v>
      </c>
      <c r="B22" s="94">
        <v>1</v>
      </c>
      <c r="C22" s="95" t="s">
        <v>744</v>
      </c>
      <c r="D22" s="94" t="s">
        <v>165</v>
      </c>
      <c r="E22" s="80"/>
      <c r="F22" s="82"/>
      <c r="G22" s="94"/>
      <c r="H22" s="94"/>
      <c r="I22" s="94"/>
      <c r="J22" s="94"/>
      <c r="K22" s="96" t="e">
        <f t="shared" si="0"/>
        <v>#DIV/0!</v>
      </c>
      <c r="L22" s="97" t="e">
        <f t="shared" si="1"/>
        <v>#DIV/0!</v>
      </c>
      <c r="M22" s="97" t="e">
        <f t="shared" si="2"/>
        <v>#DIV/0!</v>
      </c>
      <c r="N22" s="98"/>
      <c r="O22" s="99"/>
      <c r="P22" s="94"/>
      <c r="Q22" s="94"/>
      <c r="R22" s="94"/>
      <c r="S22" s="94"/>
      <c r="T22" s="100" t="e">
        <f t="shared" si="3"/>
        <v>#DIV/0!</v>
      </c>
      <c r="U22" s="94"/>
      <c r="V22" s="94"/>
      <c r="W22" s="94"/>
      <c r="X22" s="94"/>
      <c r="Y22" s="94"/>
      <c r="Z22" s="100" t="e">
        <f t="shared" si="4"/>
        <v>#DIV/0!</v>
      </c>
      <c r="AA22" s="99"/>
      <c r="AB22" s="94"/>
      <c r="AC22" s="94"/>
      <c r="AD22" s="94"/>
      <c r="AE22" s="94"/>
      <c r="AF22" s="100" t="e">
        <f t="shared" si="5"/>
        <v>#DIV/0!</v>
      </c>
      <c r="AG22" s="94"/>
      <c r="AH22" s="94"/>
      <c r="AI22" s="94"/>
      <c r="AJ22" s="94"/>
      <c r="AK22" s="94"/>
      <c r="AL22" s="100" t="e">
        <f t="shared" si="6"/>
        <v>#DIV/0!</v>
      </c>
      <c r="AM22" s="101"/>
      <c r="AN22" s="94"/>
      <c r="AO22" s="94"/>
      <c r="AP22" s="94"/>
      <c r="AQ22" s="94"/>
      <c r="AR22" s="100" t="e">
        <f t="shared" si="7"/>
        <v>#DIV/0!</v>
      </c>
      <c r="AS22" s="94"/>
      <c r="AT22" s="94"/>
      <c r="AU22" s="94"/>
      <c r="AV22" s="94"/>
      <c r="AW22" s="94"/>
      <c r="AX22" s="100" t="e">
        <f t="shared" si="8"/>
        <v>#DIV/0!</v>
      </c>
      <c r="AY22" s="94"/>
      <c r="AZ22" s="94"/>
      <c r="BA22" s="94"/>
      <c r="BB22" s="94"/>
      <c r="BC22" s="94"/>
      <c r="BD22" s="100" t="e">
        <f t="shared" si="9"/>
        <v>#DIV/0!</v>
      </c>
      <c r="BE22" s="94"/>
      <c r="BF22" s="94"/>
      <c r="BG22" s="94"/>
      <c r="BH22" s="94"/>
      <c r="BI22" s="94"/>
      <c r="BJ22" s="100" t="e">
        <f t="shared" si="10"/>
        <v>#DIV/0!</v>
      </c>
      <c r="BK22" s="102"/>
      <c r="BL22" s="94"/>
      <c r="BM22" s="94"/>
      <c r="BN22" s="94"/>
      <c r="BO22" s="94"/>
      <c r="BP22" s="94"/>
      <c r="BQ22" s="100">
        <f t="shared" si="11"/>
        <v>0</v>
      </c>
      <c r="BR22" s="94"/>
      <c r="BS22" s="94"/>
      <c r="BT22" s="94"/>
      <c r="BU22" s="94"/>
      <c r="BV22" s="94"/>
      <c r="BW22" s="100">
        <f t="shared" si="12"/>
        <v>0</v>
      </c>
      <c r="BX22" s="94"/>
      <c r="BY22" s="94"/>
      <c r="BZ22" s="94"/>
      <c r="CA22" s="94"/>
      <c r="CB22" s="94"/>
      <c r="CC22" s="100">
        <f t="shared" si="13"/>
        <v>0</v>
      </c>
      <c r="CD22" s="94"/>
      <c r="CE22" s="94"/>
      <c r="CF22" s="94"/>
      <c r="CG22" s="94"/>
      <c r="CH22" s="94"/>
      <c r="CI22" s="100">
        <f t="shared" si="14"/>
        <v>0</v>
      </c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</row>
    <row r="23" spans="1:117" ht="16" x14ac:dyDescent="0.2">
      <c r="A23" s="7" t="s">
        <v>743</v>
      </c>
      <c r="B23" s="7">
        <v>1</v>
      </c>
      <c r="C23" s="14" t="s">
        <v>742</v>
      </c>
      <c r="D23" s="7" t="s">
        <v>165</v>
      </c>
      <c r="E23" s="80"/>
      <c r="F23" s="82"/>
      <c r="G23" s="7">
        <v>1</v>
      </c>
      <c r="H23" s="7">
        <v>1</v>
      </c>
      <c r="I23" s="7">
        <v>1</v>
      </c>
      <c r="J23" s="7">
        <v>1</v>
      </c>
      <c r="K23" s="30">
        <f t="shared" si="0"/>
        <v>70</v>
      </c>
      <c r="L23" s="33">
        <f t="shared" si="1"/>
        <v>100</v>
      </c>
      <c r="M23" s="33">
        <f t="shared" si="2"/>
        <v>135</v>
      </c>
      <c r="N23" s="57">
        <v>15</v>
      </c>
      <c r="O23" s="45">
        <v>1</v>
      </c>
      <c r="P23" s="7">
        <v>1</v>
      </c>
      <c r="Q23" s="7">
        <v>1</v>
      </c>
      <c r="R23" s="7">
        <v>1</v>
      </c>
      <c r="S23" s="7">
        <v>1</v>
      </c>
      <c r="T23" s="48">
        <f t="shared" si="3"/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48">
        <f t="shared" si="4"/>
        <v>1</v>
      </c>
      <c r="AA23" s="45">
        <v>1</v>
      </c>
      <c r="AB23" s="7">
        <v>1</v>
      </c>
      <c r="AC23" s="7">
        <v>1</v>
      </c>
      <c r="AD23" s="7">
        <v>1</v>
      </c>
      <c r="AE23" s="7">
        <v>1</v>
      </c>
      <c r="AF23" s="48">
        <f t="shared" si="5"/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48">
        <f t="shared" si="6"/>
        <v>1</v>
      </c>
      <c r="AM23" s="35">
        <v>1</v>
      </c>
      <c r="AN23" s="7">
        <v>1</v>
      </c>
      <c r="AO23" s="7">
        <v>1</v>
      </c>
      <c r="AP23" s="7">
        <v>1</v>
      </c>
      <c r="AQ23" s="7">
        <v>1</v>
      </c>
      <c r="AR23" s="48">
        <f t="shared" si="7"/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48">
        <f t="shared" si="8"/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48">
        <f t="shared" si="9"/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48">
        <f t="shared" si="10"/>
        <v>1</v>
      </c>
      <c r="BK23" s="55"/>
      <c r="BL23" s="7"/>
      <c r="BM23" s="7"/>
      <c r="BN23" s="7"/>
      <c r="BO23" s="7"/>
      <c r="BP23" s="7"/>
      <c r="BQ23" s="48">
        <f t="shared" si="11"/>
        <v>0</v>
      </c>
      <c r="BR23" s="7"/>
      <c r="BS23" s="7"/>
      <c r="BT23" s="7"/>
      <c r="BU23" s="7"/>
      <c r="BV23" s="7"/>
      <c r="BW23" s="48">
        <f t="shared" si="12"/>
        <v>0</v>
      </c>
      <c r="BX23" s="7"/>
      <c r="BY23" s="7"/>
      <c r="BZ23" s="7"/>
      <c r="CA23" s="7"/>
      <c r="CB23" s="7"/>
      <c r="CC23" s="48">
        <f t="shared" si="13"/>
        <v>0</v>
      </c>
      <c r="CD23" s="7"/>
      <c r="CE23" s="7"/>
      <c r="CF23" s="7"/>
      <c r="CG23" s="7"/>
      <c r="CH23" s="7"/>
      <c r="CI23" s="48">
        <f t="shared" si="14"/>
        <v>0</v>
      </c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</row>
    <row r="24" spans="1:117" ht="16" x14ac:dyDescent="0.2">
      <c r="A24" s="5" t="s">
        <v>741</v>
      </c>
      <c r="B24" s="5">
        <v>1</v>
      </c>
      <c r="C24" s="13" t="s">
        <v>740</v>
      </c>
      <c r="D24" s="5" t="s">
        <v>165</v>
      </c>
      <c r="E24" s="80"/>
      <c r="F24" s="82"/>
      <c r="G24" s="5">
        <v>1</v>
      </c>
      <c r="H24" s="5">
        <v>1</v>
      </c>
      <c r="I24" s="5">
        <v>1</v>
      </c>
      <c r="J24" s="5">
        <v>1</v>
      </c>
      <c r="K24" s="30">
        <f t="shared" si="0"/>
        <v>70</v>
      </c>
      <c r="L24" s="33">
        <f t="shared" si="1"/>
        <v>100</v>
      </c>
      <c r="M24" s="33">
        <f t="shared" si="2"/>
        <v>100</v>
      </c>
      <c r="N24" s="57"/>
      <c r="O24" s="44">
        <v>1</v>
      </c>
      <c r="P24" s="5">
        <v>1</v>
      </c>
      <c r="Q24" s="5">
        <v>1</v>
      </c>
      <c r="R24" s="5">
        <v>1</v>
      </c>
      <c r="S24" s="5">
        <v>1</v>
      </c>
      <c r="T24" s="48">
        <f t="shared" si="3"/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48">
        <f t="shared" si="4"/>
        <v>1</v>
      </c>
      <c r="AA24" s="44">
        <v>1</v>
      </c>
      <c r="AB24" s="5">
        <v>1</v>
      </c>
      <c r="AC24" s="5">
        <v>1</v>
      </c>
      <c r="AD24" s="5">
        <v>1</v>
      </c>
      <c r="AE24" s="5">
        <v>1</v>
      </c>
      <c r="AF24" s="48">
        <f t="shared" si="5"/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48">
        <f t="shared" si="6"/>
        <v>1</v>
      </c>
      <c r="AM24" s="34">
        <v>1</v>
      </c>
      <c r="AN24" s="5">
        <v>1</v>
      </c>
      <c r="AO24" s="5">
        <v>1</v>
      </c>
      <c r="AP24" s="5">
        <v>1</v>
      </c>
      <c r="AQ24" s="5">
        <v>1</v>
      </c>
      <c r="AR24" s="48">
        <f t="shared" si="7"/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48">
        <f t="shared" si="8"/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48">
        <f t="shared" si="9"/>
        <v>1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48">
        <f t="shared" si="10"/>
        <v>0</v>
      </c>
      <c r="BK24" s="55"/>
      <c r="BL24" s="5"/>
      <c r="BM24" s="5"/>
      <c r="BN24" s="5"/>
      <c r="BO24" s="5"/>
      <c r="BP24" s="5"/>
      <c r="BQ24" s="48">
        <f t="shared" si="11"/>
        <v>0</v>
      </c>
      <c r="BR24" s="5"/>
      <c r="BS24" s="5"/>
      <c r="BT24" s="5"/>
      <c r="BU24" s="5"/>
      <c r="BV24" s="5"/>
      <c r="BW24" s="48">
        <f t="shared" si="12"/>
        <v>0</v>
      </c>
      <c r="BX24" s="5"/>
      <c r="BY24" s="5"/>
      <c r="BZ24" s="5"/>
      <c r="CA24" s="5"/>
      <c r="CB24" s="5"/>
      <c r="CC24" s="48">
        <f t="shared" si="13"/>
        <v>0</v>
      </c>
      <c r="CD24" s="5"/>
      <c r="CE24" s="5"/>
      <c r="CF24" s="5"/>
      <c r="CG24" s="5"/>
      <c r="CH24" s="5"/>
      <c r="CI24" s="48">
        <f t="shared" si="14"/>
        <v>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</row>
    <row r="25" spans="1:117" ht="16" x14ac:dyDescent="0.2">
      <c r="A25" s="7" t="s">
        <v>739</v>
      </c>
      <c r="B25" s="7">
        <v>1</v>
      </c>
      <c r="C25" s="14" t="s">
        <v>738</v>
      </c>
      <c r="D25" s="7" t="s">
        <v>165</v>
      </c>
      <c r="E25" s="80"/>
      <c r="F25" s="82"/>
      <c r="G25" s="7">
        <v>1</v>
      </c>
      <c r="H25" s="7">
        <v>1</v>
      </c>
      <c r="I25" s="7">
        <v>1</v>
      </c>
      <c r="J25" s="7">
        <v>1</v>
      </c>
      <c r="K25" s="30">
        <f t="shared" si="0"/>
        <v>62.999999999999993</v>
      </c>
      <c r="L25" s="33">
        <f t="shared" si="1"/>
        <v>90</v>
      </c>
      <c r="M25" s="33">
        <f t="shared" si="2"/>
        <v>90</v>
      </c>
      <c r="N25" s="57">
        <v>17</v>
      </c>
      <c r="O25" s="45">
        <v>1</v>
      </c>
      <c r="P25" s="7">
        <v>1</v>
      </c>
      <c r="Q25" s="7">
        <v>1</v>
      </c>
      <c r="R25" s="7">
        <v>1</v>
      </c>
      <c r="S25" s="7">
        <v>1</v>
      </c>
      <c r="T25" s="48">
        <f t="shared" si="3"/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48">
        <f t="shared" si="4"/>
        <v>1</v>
      </c>
      <c r="AA25" s="45">
        <v>1</v>
      </c>
      <c r="AB25" s="7">
        <v>1</v>
      </c>
      <c r="AC25" s="7">
        <v>1</v>
      </c>
      <c r="AD25" s="7">
        <v>1</v>
      </c>
      <c r="AE25" s="7">
        <v>1</v>
      </c>
      <c r="AF25" s="48">
        <f t="shared" si="5"/>
        <v>1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48">
        <f t="shared" si="6"/>
        <v>0</v>
      </c>
      <c r="AM25" s="35">
        <v>1</v>
      </c>
      <c r="AN25" s="7">
        <v>1</v>
      </c>
      <c r="AO25" s="7">
        <v>1</v>
      </c>
      <c r="AP25" s="7">
        <v>1</v>
      </c>
      <c r="AQ25" s="7">
        <v>1</v>
      </c>
      <c r="AR25" s="48">
        <f t="shared" si="7"/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48">
        <f t="shared" si="8"/>
        <v>1</v>
      </c>
      <c r="AY25" s="7">
        <v>1</v>
      </c>
      <c r="AZ25" s="7">
        <v>0.25</v>
      </c>
      <c r="BA25" s="7">
        <v>0.25</v>
      </c>
      <c r="BB25" s="7">
        <v>0.25</v>
      </c>
      <c r="BC25" s="7">
        <v>0.25</v>
      </c>
      <c r="BD25" s="48">
        <f t="shared" si="9"/>
        <v>0.4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48">
        <f t="shared" si="10"/>
        <v>0</v>
      </c>
      <c r="BK25" s="55"/>
      <c r="BL25" s="7"/>
      <c r="BM25" s="7"/>
      <c r="BN25" s="7"/>
      <c r="BO25" s="7"/>
      <c r="BP25" s="7"/>
      <c r="BQ25" s="48">
        <f t="shared" si="11"/>
        <v>0</v>
      </c>
      <c r="BR25" s="7"/>
      <c r="BS25" s="7"/>
      <c r="BT25" s="7"/>
      <c r="BU25" s="7"/>
      <c r="BV25" s="7"/>
      <c r="BW25" s="48">
        <f t="shared" si="12"/>
        <v>0</v>
      </c>
      <c r="BX25" s="7"/>
      <c r="BY25" s="7"/>
      <c r="BZ25" s="7"/>
      <c r="CA25" s="7"/>
      <c r="CB25" s="7"/>
      <c r="CC25" s="48">
        <f t="shared" si="13"/>
        <v>0</v>
      </c>
      <c r="CD25" s="7"/>
      <c r="CE25" s="7"/>
      <c r="CF25" s="7"/>
      <c r="CG25" s="7"/>
      <c r="CH25" s="7"/>
      <c r="CI25" s="48">
        <f t="shared" si="14"/>
        <v>0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</row>
    <row r="26" spans="1:117" ht="16" x14ac:dyDescent="0.2">
      <c r="A26" s="5" t="s">
        <v>737</v>
      </c>
      <c r="B26" s="5">
        <v>1</v>
      </c>
      <c r="C26" s="13" t="s">
        <v>736</v>
      </c>
      <c r="D26" s="5" t="s">
        <v>165</v>
      </c>
      <c r="E26" s="83"/>
      <c r="F26" s="85"/>
      <c r="G26" s="5">
        <v>1</v>
      </c>
      <c r="H26" s="5">
        <v>1</v>
      </c>
      <c r="I26" s="5">
        <v>1</v>
      </c>
      <c r="J26" s="5">
        <v>1</v>
      </c>
      <c r="K26" s="30">
        <f t="shared" si="0"/>
        <v>70</v>
      </c>
      <c r="L26" s="33">
        <f t="shared" si="1"/>
        <v>100</v>
      </c>
      <c r="M26" s="33">
        <f t="shared" si="2"/>
        <v>118.4</v>
      </c>
      <c r="N26" s="57"/>
      <c r="O26" s="44">
        <v>1</v>
      </c>
      <c r="P26" s="5">
        <v>1</v>
      </c>
      <c r="Q26" s="5">
        <v>1</v>
      </c>
      <c r="R26" s="5">
        <v>1</v>
      </c>
      <c r="S26" s="5">
        <v>1</v>
      </c>
      <c r="T26" s="48">
        <f t="shared" si="3"/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48">
        <f t="shared" si="4"/>
        <v>1</v>
      </c>
      <c r="AA26" s="44">
        <v>1</v>
      </c>
      <c r="AB26" s="5">
        <v>1</v>
      </c>
      <c r="AC26" s="5">
        <v>1</v>
      </c>
      <c r="AD26" s="5">
        <v>1</v>
      </c>
      <c r="AE26" s="5">
        <v>1</v>
      </c>
      <c r="AF26" s="48">
        <f t="shared" si="5"/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48">
        <f t="shared" si="6"/>
        <v>1</v>
      </c>
      <c r="AM26" s="34">
        <v>1</v>
      </c>
      <c r="AN26" s="5">
        <v>1</v>
      </c>
      <c r="AO26" s="5">
        <v>1</v>
      </c>
      <c r="AP26" s="5">
        <v>1</v>
      </c>
      <c r="AQ26" s="5">
        <v>1</v>
      </c>
      <c r="AR26" s="48">
        <f t="shared" si="7"/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48">
        <f t="shared" si="8"/>
        <v>1</v>
      </c>
      <c r="AY26" s="5">
        <v>0.8</v>
      </c>
      <c r="AZ26" s="5">
        <v>1</v>
      </c>
      <c r="BA26" s="5">
        <v>1</v>
      </c>
      <c r="BB26" s="5">
        <v>1</v>
      </c>
      <c r="BC26" s="5">
        <v>1</v>
      </c>
      <c r="BD26" s="48">
        <f t="shared" si="9"/>
        <v>0.96</v>
      </c>
      <c r="BE26" s="5">
        <v>0.8</v>
      </c>
      <c r="BF26" s="5">
        <v>1</v>
      </c>
      <c r="BG26" s="5">
        <v>1</v>
      </c>
      <c r="BH26" s="5">
        <v>1</v>
      </c>
      <c r="BI26" s="5">
        <v>1</v>
      </c>
      <c r="BJ26" s="48">
        <f t="shared" si="10"/>
        <v>0.96</v>
      </c>
      <c r="BK26" s="55"/>
      <c r="BL26" s="5"/>
      <c r="BM26" s="5"/>
      <c r="BN26" s="5"/>
      <c r="BO26" s="5"/>
      <c r="BP26" s="5"/>
      <c r="BQ26" s="48">
        <f t="shared" si="11"/>
        <v>0</v>
      </c>
      <c r="BR26" s="5"/>
      <c r="BS26" s="5"/>
      <c r="BT26" s="5"/>
      <c r="BU26" s="5"/>
      <c r="BV26" s="5"/>
      <c r="BW26" s="48">
        <f t="shared" si="12"/>
        <v>0</v>
      </c>
      <c r="BX26" s="5"/>
      <c r="BY26" s="5"/>
      <c r="BZ26" s="5"/>
      <c r="CA26" s="5"/>
      <c r="CB26" s="5"/>
      <c r="CC26" s="48">
        <f t="shared" si="13"/>
        <v>0</v>
      </c>
      <c r="CD26" s="5"/>
      <c r="CE26" s="5"/>
      <c r="CF26" s="5"/>
      <c r="CG26" s="5"/>
      <c r="CH26" s="5"/>
      <c r="CI26" s="48">
        <f t="shared" si="14"/>
        <v>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</row>
  </sheetData>
  <mergeCells count="17">
    <mergeCell ref="E4:F26"/>
    <mergeCell ref="O2:T2"/>
    <mergeCell ref="U2:Z2"/>
    <mergeCell ref="P1:T1"/>
    <mergeCell ref="U1:Z1"/>
    <mergeCell ref="AA1:AF1"/>
    <mergeCell ref="AA2:AF2"/>
    <mergeCell ref="AG1:AL1"/>
    <mergeCell ref="AM1:AR1"/>
    <mergeCell ref="AS1:AX1"/>
    <mergeCell ref="AY1:BD1"/>
    <mergeCell ref="BE1:BJ1"/>
    <mergeCell ref="AG2:AL2"/>
    <mergeCell ref="AM2:AR2"/>
    <mergeCell ref="AS2:AX2"/>
    <mergeCell ref="AY2:BD2"/>
    <mergeCell ref="BE2:BJ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5A_CD</vt:lpstr>
      <vt:lpstr>M08_CI</vt:lpstr>
      <vt:lpstr>M13_CI</vt:lpstr>
      <vt:lpstr>M09_AL</vt:lpstr>
      <vt:lpstr>11A_TCD</vt:lpstr>
      <vt:lpstr>9M_CD</vt:lpstr>
      <vt:lpstr>4B_CD</vt:lpstr>
      <vt:lpstr>6W_TCD</vt:lpstr>
      <vt:lpstr>3V_CD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2026-09-29T14:29:04Z</dcterms:modified>
  <cp:category/>
</cp:coreProperties>
</file>